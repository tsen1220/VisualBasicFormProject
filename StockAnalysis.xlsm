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介面與股票歷史資料查詢" sheetId="45" r:id="rId1"/>
    <sheet name="category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2" i="45" l="1"/>
  <c r="V13" i="45"/>
  <c r="V14" i="45"/>
  <c r="V15" i="45"/>
  <c r="V16" i="45"/>
  <c r="V17" i="45"/>
  <c r="V18" i="45"/>
  <c r="V19" i="45"/>
  <c r="V20" i="45"/>
  <c r="V21" i="45"/>
  <c r="V22" i="45"/>
  <c r="V23" i="45"/>
  <c r="V24" i="45"/>
  <c r="V25" i="45"/>
  <c r="V26" i="45"/>
  <c r="V27" i="45"/>
  <c r="V28" i="45"/>
  <c r="V29" i="45"/>
  <c r="V30" i="45"/>
  <c r="V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11" i="45"/>
  <c r="T30" i="45"/>
  <c r="T29" i="45" s="1"/>
  <c r="T28" i="45" s="1"/>
  <c r="T27" i="45" s="1"/>
  <c r="T26" i="45" s="1"/>
  <c r="T25" i="45" s="1"/>
  <c r="T24" i="45" s="1"/>
  <c r="T23" i="45" s="1"/>
  <c r="T22" i="45" s="1"/>
  <c r="T21" i="45" s="1"/>
  <c r="T20" i="45" s="1"/>
  <c r="T19" i="45" s="1"/>
  <c r="T18" i="45" s="1"/>
  <c r="T17" i="45" s="1"/>
  <c r="T16" i="45" s="1"/>
  <c r="T15" i="45" s="1"/>
  <c r="T14" i="45" s="1"/>
  <c r="T13" i="45" s="1"/>
  <c r="T12" i="45" s="1"/>
  <c r="T11" i="45" s="1"/>
  <c r="S30" i="45"/>
  <c r="S29" i="45" s="1"/>
  <c r="S28" i="45" s="1"/>
  <c r="S27" i="45" s="1"/>
  <c r="S26" i="45" s="1"/>
  <c r="S25" i="45" s="1"/>
  <c r="S24" i="45" s="1"/>
  <c r="S23" i="45" s="1"/>
  <c r="S22" i="45" s="1"/>
  <c r="S21" i="45" s="1"/>
  <c r="S20" i="45" s="1"/>
  <c r="S19" i="45" s="1"/>
  <c r="S18" i="45" s="1"/>
  <c r="S17" i="45" s="1"/>
  <c r="S16" i="45" s="1"/>
  <c r="S15" i="45" s="1"/>
  <c r="S14" i="45" s="1"/>
  <c r="S13" i="45" s="1"/>
  <c r="S12" i="45" s="1"/>
  <c r="S11" i="45" s="1"/>
  <c r="R12" i="45"/>
  <c r="R13" i="45"/>
  <c r="R14" i="45"/>
  <c r="R15" i="45"/>
  <c r="R16" i="45"/>
  <c r="R17" i="45"/>
  <c r="R18" i="45"/>
  <c r="R19" i="45"/>
  <c r="R20" i="45"/>
  <c r="R11" i="45"/>
  <c r="Q12" i="45"/>
  <c r="Q13" i="45"/>
  <c r="Q14" i="45"/>
  <c r="Q15" i="45"/>
  <c r="Q16" i="45"/>
  <c r="Q17" i="45"/>
  <c r="Q18" i="45"/>
  <c r="Q19" i="45"/>
  <c r="Q20" i="45"/>
  <c r="Q11" i="45"/>
  <c r="P12" i="45"/>
  <c r="P13" i="45"/>
  <c r="P14" i="45"/>
  <c r="P15" i="45"/>
  <c r="P16" i="45"/>
  <c r="P17" i="45"/>
  <c r="P18" i="45"/>
  <c r="P19" i="45"/>
  <c r="P20" i="45"/>
  <c r="P11" i="45"/>
  <c r="O18" i="45"/>
  <c r="O17" i="45" s="1"/>
  <c r="O16" i="45" s="1"/>
  <c r="O15" i="45" s="1"/>
  <c r="O14" i="45" s="1"/>
  <c r="O13" i="45" s="1"/>
  <c r="O12" i="45" s="1"/>
  <c r="O11" i="45" s="1"/>
  <c r="O19" i="45"/>
  <c r="N18" i="45"/>
  <c r="N17" i="45" s="1"/>
  <c r="N16" i="45" s="1"/>
  <c r="N15" i="45" s="1"/>
  <c r="N14" i="45" s="1"/>
  <c r="N13" i="45" s="1"/>
  <c r="N12" i="45" s="1"/>
  <c r="N11" i="45" s="1"/>
  <c r="N19" i="45"/>
  <c r="M12" i="45"/>
  <c r="M13" i="45"/>
  <c r="M14" i="45"/>
  <c r="M15" i="45"/>
  <c r="M16" i="45"/>
  <c r="M17" i="45"/>
  <c r="M18" i="45"/>
  <c r="M19" i="45"/>
  <c r="M20" i="45"/>
  <c r="L12" i="45"/>
  <c r="L13" i="45"/>
  <c r="L14" i="45"/>
  <c r="L15" i="45"/>
  <c r="L16" i="45"/>
  <c r="L17" i="45"/>
  <c r="L18" i="45"/>
  <c r="L19" i="45"/>
  <c r="L20" i="45"/>
  <c r="K20" i="45"/>
  <c r="K12" i="45"/>
  <c r="K13" i="45"/>
  <c r="K14" i="45"/>
  <c r="K15" i="45"/>
  <c r="K16" i="45"/>
  <c r="K17" i="45"/>
  <c r="K18" i="45"/>
  <c r="K19" i="45"/>
  <c r="M11" i="45"/>
  <c r="L11" i="45"/>
  <c r="K11" i="45"/>
</calcChain>
</file>

<file path=xl/connections.xml><?xml version="1.0" encoding="utf-8"?>
<connections xmlns="http://schemas.openxmlformats.org/spreadsheetml/2006/main">
  <connection id="1" name="連線" type="4" refreshedVersion="0" background="1">
    <webPr url="https://www.cnyes.com/twstock/index2real.aspx?itype=TSE&amp;subcode=1100_1199&amp;stitle=%E6%B0%B4%E6%B3%A5&amp;subtitle=8888A&amp;groupstr=01" htmlTables="1" htmlFormat="all"/>
  </connection>
</connections>
</file>

<file path=xl/sharedStrings.xml><?xml version="1.0" encoding="utf-8"?>
<sst xmlns="http://schemas.openxmlformats.org/spreadsheetml/2006/main" count="117" uniqueCount="115">
  <si>
    <t>水泥</t>
  </si>
  <si>
    <t>食品</t>
  </si>
  <si>
    <t>https://www.cnyes.com/twstock/index2real.aspx?itype=TSE&amp;subcode=1100_1199&amp;stitle=%E6%B0%B4%E6%B3%A5&amp;subtitle=8888A&amp;groupstr=01</t>
  </si>
  <si>
    <t>https://www.cnyes.com/twstock/index2real.aspx?itype=TSE&amp;subcode=1200_1299&amp;stitle=%E9%A3%9F%E5%93%81&amp;subtitle=8888B&amp;groupstr=02</t>
  </si>
  <si>
    <t>塑膠</t>
  </si>
  <si>
    <t>https://www.cnyes.com/twstock/index2real.aspx?itype=TSE&amp;subcode=1300_1399&amp;stitle=%E5%A1%91%E8%86%A0&amp;subtitle=8888C&amp;groupstr=03</t>
  </si>
  <si>
    <t>紡織</t>
  </si>
  <si>
    <t>電機</t>
  </si>
  <si>
    <t>電器</t>
  </si>
  <si>
    <t>化學</t>
  </si>
  <si>
    <t>生技</t>
  </si>
  <si>
    <t>玻璃</t>
  </si>
  <si>
    <t>造紙</t>
  </si>
  <si>
    <t>鋼鐵</t>
  </si>
  <si>
    <t>橡膠</t>
  </si>
  <si>
    <t>汽車</t>
  </si>
  <si>
    <t>半導體</t>
  </si>
  <si>
    <t>電腦及週邊設備</t>
  </si>
  <si>
    <t>光電業</t>
  </si>
  <si>
    <t>通信網路業</t>
  </si>
  <si>
    <t>電子零組件業</t>
  </si>
  <si>
    <t>電子通路業</t>
  </si>
  <si>
    <t>資訊服務業</t>
  </si>
  <si>
    <t>其他電子業</t>
  </si>
  <si>
    <t>營造</t>
  </si>
  <si>
    <t>運輸</t>
  </si>
  <si>
    <t>觀光</t>
  </si>
  <si>
    <t>金融</t>
  </si>
  <si>
    <t>百貨</t>
  </si>
  <si>
    <t>油電燃氣業</t>
  </si>
  <si>
    <t>存託憑證</t>
  </si>
  <si>
    <t>其他</t>
  </si>
  <si>
    <t>基金</t>
  </si>
  <si>
    <t>權證</t>
  </si>
  <si>
    <t>公司債</t>
  </si>
  <si>
    <t>臺灣五十指數成份股</t>
  </si>
  <si>
    <t>台灣中型100指數</t>
  </si>
  <si>
    <t>台股ETF</t>
  </si>
  <si>
    <t>存託憑證折溢價表</t>
  </si>
  <si>
    <t>台灣發達指數</t>
  </si>
  <si>
    <t>台灣高股息指數</t>
  </si>
  <si>
    <t>牛熊證</t>
  </si>
  <si>
    <t>台灣資訊科技</t>
  </si>
  <si>
    <t>高殖利率</t>
  </si>
  <si>
    <t>櫃買薪酬</t>
  </si>
  <si>
    <t>勞工就業88</t>
  </si>
  <si>
    <t>https://www.cnyes.com/twstock/index2real.aspx?itype=TSE&amp;subcode=1400_1499&amp;stitle=%E7%B4%A1%E7%B9%94&amp;subtitle=8888D&amp;groupstr=04</t>
  </si>
  <si>
    <t>https://www.cnyes.com/twstock/index2real.aspx?itype=TSE&amp;subcode=1500_1599&amp;stitle=%E9%9B%BB%E6%A9%9F&amp;subtitle=8888E&amp;groupstr=05</t>
  </si>
  <si>
    <t>https://www.cnyes.com/twstock/index2real.aspx?itype=TSE&amp;subcode=1600_1699&amp;stitle=%E9%9B%BB%E5%99%A8&amp;subtitle=8888F&amp;groupstr=06</t>
  </si>
  <si>
    <t>https://www.cnyes.com/twstock/index2real.aspx?itype=TSE&amp;subcode=1700_1799&amp;stitle=%E5%8C%96%E5%AD%B8&amp;subtitle=8888G&amp;groupstr=21</t>
  </si>
  <si>
    <t>https://www.cnyes.com/twstock/index2real.aspx?itype=TSE&amp;subcode=1700_1799&amp;stitle=%E7%94%9F%E6%8A%80&amp;subtitle=8888G&amp;groupstr=22</t>
  </si>
  <si>
    <t>https://www.cnyes.com/twstock/index2real.aspx?itype=TSE&amp;subcode=1800_1899&amp;stitle=%E7%8E%BB%E7%92%83&amp;subtitle=8888H&amp;groupstr=08</t>
  </si>
  <si>
    <t>https://www.cnyes.com/twstock/index2real.aspx?itype=TSE&amp;subcode=1900_1999&amp;stitle=%E9%80%A0%E7%B4%99&amp;subtitle=8888I&amp;groupstr=09</t>
  </si>
  <si>
    <t>https://www.cnyes.com/twstock/index2real.aspx?itype=TSE&amp;subcode=2000_2099&amp;stitle=%E9%8B%BC%E9%90%B5&amp;subtitle=8888J&amp;groupstr=10</t>
  </si>
  <si>
    <t>https://www.cnyes.com/twstock/index2real.aspx?itype=TSE&amp;subcode=2100_2199&amp;stitle=%E6%A9%A1%E8%86%A0&amp;subtitle=8888K&amp;groupstr=11</t>
  </si>
  <si>
    <t>https://www.cnyes.com/twstock/index2real.aspx?itype=TSE&amp;subcode=2200_2299&amp;stitle=%E6%B1%BD%E8%BB%8A&amp;subtitle=8888L&amp;groupstr=12</t>
  </si>
  <si>
    <t>https://www.cnyes.com/twstock/index2real.aspx?itype=TSE&amp;stitle=%E5%8D%8A%E5%B0%8E%E9%AB%94&amp;subtitle=8888M&amp;groupstr=24</t>
  </si>
  <si>
    <t>https://www.cnyes.com/twstock/index2real.aspx?itype=TSE&amp;stitle=%E9%9B%BB%E8%85%A6%E5%8F%8A%E5%91%A8%E9%82%8A%E8%A8%AD%E5%82%99&amp;subtitle=8888M&amp;groupstr=25</t>
  </si>
  <si>
    <t>https://www.cnyes.com/twstock/index2real.aspx?itype=TSE&amp;stitle=%E5%85%89%E9%9B%BB%E6%A5%AD&amp;subtitle=8888M&amp;groupstr=26</t>
  </si>
  <si>
    <t>https://www.cnyes.com/twstock/index2real.aspx?itype=TSE&amp;stitle=%E9%80%9A%E4%BF%A1%E7%B6%B2%E8%B7%AF%E6%A5%AD&amp;subtitle=8888M&amp;groupstr=27</t>
  </si>
  <si>
    <t>https://www.cnyes.com/twstock/index2real.aspx?itype=TSE&amp;stitle=%E9%9B%BB%E5%AD%90%E9%9B%B6%E7%B5%84%E4%BB%B6%E6%A5%AD&amp;subtitle=8888M&amp;groupstr=28</t>
  </si>
  <si>
    <t>https://www.cnyes.com/twstock/index2real.aspx?itype=TSE&amp;stitle=%E9%9B%BB%E5%AD%90%E9%80%9A%E8%B7%AF%E6%A5%AD&amp;subtitle=8888M&amp;groupstr=29</t>
  </si>
  <si>
    <t>https://www.cnyes.com/twstock/index2real.aspx?itype=TSE&amp;stitle=%E8%B3%87%E8%A8%8A%E6%9C%8D%E5%8B%99%E6%A5%AD&amp;subtitle=8888M&amp;groupstr=30</t>
  </si>
  <si>
    <t>https://www.cnyes.com/twstock/index2real.aspx?itype=TSE&amp;stitle=%E5%85%B6%E4%BB%96%E9%9B%BB%E5%AD%90%E6%A5%AD&amp;subtitle=8888M&amp;groupstr=31</t>
  </si>
  <si>
    <t>https://www.cnyes.com/twstock/index2real.aspx?itype=TSE&amp;subcode=2500_2599&amp;stitle=%E7%87%9F%E9%80%A0&amp;subtitle=8888N&amp;groupstr=14</t>
  </si>
  <si>
    <t>https://www.cnyes.com/twstock/index2real.aspx?itype=TSE&amp;subcode=2600_2699&amp;stitle=%E9%81%8B%E8%BC%B8&amp;subtitle=8888O&amp;groupstr=15</t>
  </si>
  <si>
    <t>https://www.cnyes.com/twstock/index2real.aspx?itype=TSE&amp;subcode=2700_2799&amp;stitle=%E8%A7%80%E5%85%89&amp;subtitle=8888P&amp;groupstr=16</t>
  </si>
  <si>
    <t>https://www.cnyes.com/twstock/index2real.aspx?itype=TSE&amp;subcode=2800_2899&amp;stitle=%E9%87%91%E8%9E%8D&amp;subtitle=8888Q&amp;groupstr=17</t>
  </si>
  <si>
    <t>https://www.cnyes.com/twstock/index2real.aspx?itype=TSE&amp;subcode=2900_2999&amp;stitle=%E7%99%BE%E8%B2%A8&amp;subtitle=8888R&amp;groupstr=18</t>
  </si>
  <si>
    <t>https://www.cnyes.com/twstock/index2real.aspx?itype=TSE&amp;stitle=%E6%B2%B9%E9%9B%BB&amp;groupstr=23</t>
  </si>
  <si>
    <t>https://www.cnyes.com/twstock/index2real.aspx?itype=TDR&amp;subcode=9100_9199&amp;stitle=%E5%AD%98%E8%A8%97%E6%86%91%E8%AD%89&amp;groupstr=00</t>
  </si>
  <si>
    <t>https://www.cnyes.com/twstock/index2real.aspx?itype=TSE&amp;subcode=9900_9999&amp;stitle=%E5%85%B6%E4%BB%96&amp;subtitle=8888S&amp;groupstr=20</t>
  </si>
  <si>
    <t>https://www.cnyes.com/twstock/index2real.aspx?itype=FUND&amp;stitle=%E5%9F%BA%E9%87%91</t>
  </si>
  <si>
    <t>https://www.cnyes.com/twstock/index2real.aspx?itype=W&amp;stitle=%E6%AC%8A%E8%AD%89</t>
  </si>
  <si>
    <t>https://www.cnyes.com/twstock/index2real.aspx?itype=DEBT&amp;stitle=%E5%85%AC%E5%8F%B8%E5%82%B5</t>
  </si>
  <si>
    <t>https://www.cnyes.com/twstock/index2real.aspx?itype=TW50&amp;stitle=%E8%87%BA%E7%81%A3%E4%BA%94%E5%8D%81%E6%8C%87%E6%95%B8%E6%88%90%E4%BB%BD%E8%82%A1</t>
  </si>
  <si>
    <t>https://www.cnyes.com/twstock/index2real.aspx?itype=TW100&amp;stitle=%E5%8F%B0%E7%81%A3%E4%B8%AD%E5%9E%8B100%E6%8C%87%E6%95%B8</t>
  </si>
  <si>
    <t>https://www.cnyes.com/twstock/index2real.aspx?itype=group&amp;subcode=2_22&amp;stitle=%E6%A6%82%E5%BF%B5%E8%82%A1(%E5%8F%B0%E8%82%A1ETF%E6%88%90%E4%BB%BD%E8%82%A1)</t>
  </si>
  <si>
    <t>https://www.cnyes.com/twstock/tw_astock_list.aspx</t>
  </si>
  <si>
    <t>https://www.cnyes.com/twstock/index2real.aspx?itype=TWDP&amp;stitle=%E5%8F%B0%E7%81%A3%E7%99%BC%E9%81%94%E6%8C%87%E6%95%B8</t>
  </si>
  <si>
    <t>https://www.cnyes.com/twstock/index2real.aspx?itype=TWEI&amp;stitle=%E5%8F%B0%E7%81%A3%E9%AB%98%E8%82%A1%E6%81%AF%E6%8C%87%E6%95%B8</t>
  </si>
  <si>
    <t>https://www.cnyes.com/twstock/index2real.aspx?itype=TBB&amp;stitle=%E7%89%9B%E7%86%8A%E8%AD%89</t>
  </si>
  <si>
    <t>https://www.cnyes.com/twstock/index2real.aspx?itype=TWTEC&amp;stitle=%E5%8F%B0%E7%81%A3%E8%B3%87%E8%A8%8A%E7%A7%91%E6%8A%80</t>
  </si>
  <si>
    <t>https://www.cnyes.com/twstock/index2real.aspx?itype=TPHD&amp;stitle=%E9%AB%98%E6%AE%96%E5%88%A9%E7%8E%87</t>
  </si>
  <si>
    <t>https://www.cnyes.com/twstock/index2real.aspx?itype=TPCI&amp;stitle=%E6%AB%83%E8%B2%B7%E8%96%AA%E9%85%AC</t>
  </si>
  <si>
    <t>https://www.cnyes.com/twstock/index2real.aspx?itype=EMP88&amp;stitle=%E5%8B%9E%E5%B7%A5%E5%B0%B1%E6%A5%AD88</t>
  </si>
  <si>
    <t>category</t>
  </si>
  <si>
    <t>net</t>
  </si>
  <si>
    <t>漲跌</t>
  </si>
  <si>
    <t>漲%</t>
  </si>
  <si>
    <t>成交量</t>
  </si>
  <si>
    <t>開盤</t>
  </si>
  <si>
    <t>最高</t>
  </si>
  <si>
    <t>最低</t>
  </si>
  <si>
    <t>日期</t>
  </si>
  <si>
    <t>收盤</t>
  </si>
  <si>
    <t>成交金額</t>
  </si>
  <si>
    <t>本益比</t>
  </si>
  <si>
    <t>股票代碼</t>
  </si>
  <si>
    <t>起始日期</t>
  </si>
  <si>
    <t>結束日期</t>
  </si>
  <si>
    <t>5MA</t>
  </si>
  <si>
    <t>20MA</t>
  </si>
  <si>
    <t>K9</t>
  </si>
  <si>
    <t>D9</t>
  </si>
  <si>
    <t>RSV(9日)</t>
  </si>
  <si>
    <t>5日</t>
  </si>
  <si>
    <t>20日</t>
  </si>
  <si>
    <t>乖離率(%)</t>
  </si>
  <si>
    <t>RSI值</t>
  </si>
  <si>
    <t>12日</t>
  </si>
  <si>
    <t>EMA</t>
  </si>
  <si>
    <t>26日</t>
  </si>
  <si>
    <t>DIF</t>
  </si>
  <si>
    <t>MACD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</si>
</sst>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1"/>
    <xf numFmtId="0" fontId="1" fillId="0" borderId="1" xfId="1" applyBorder="1" applyAlignment="1">
      <alignment horizontal="left" vertical="center" wrapText="1" indent="1"/>
    </xf>
    <xf numFmtId="0" fontId="1" fillId="0" borderId="2" xfId="1" applyBorder="1" applyAlignment="1">
      <alignment horizontal="left" vertical="center" wrapText="1" indent="1"/>
    </xf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 applyFont="1" applyFill="1"/>
    <xf numFmtId="10" fontId="0" fillId="0" borderId="0" xfId="0" applyNumberFormat="1" applyFont="1" applyFill="1"/>
    <xf numFmtId="3" fontId="0" fillId="0" borderId="0" xfId="0" applyNumberFormat="1" applyFont="1" applyFill="1"/>
    <xf numFmtId="0" fontId="0" fillId="0" borderId="0" xfId="0" applyFill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均線分析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5MA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介面與股票歷史資料查詢!$K$11:$K$20</c:f>
              <c:numCache>
                <c:formatCode>General</c:formatCode>
                <c:ptCount val="10"/>
                <c:pt idx="0">
                  <c:v>9.5960000000000001</c:v>
                </c:pt>
                <c:pt idx="1">
                  <c:v>9.5919999999999987</c:v>
                </c:pt>
                <c:pt idx="2">
                  <c:v>9.58</c:v>
                </c:pt>
                <c:pt idx="3">
                  <c:v>9.57</c:v>
                </c:pt>
                <c:pt idx="4">
                  <c:v>9.5619999999999994</c:v>
                </c:pt>
                <c:pt idx="5">
                  <c:v>9.5579999999999998</c:v>
                </c:pt>
                <c:pt idx="6">
                  <c:v>9.5620000000000012</c:v>
                </c:pt>
                <c:pt idx="7">
                  <c:v>9.5640000000000018</c:v>
                </c:pt>
                <c:pt idx="8">
                  <c:v>9.5640000000000018</c:v>
                </c:pt>
                <c:pt idx="9">
                  <c:v>9.5599999999999987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6-45FB-A474-464EA96D52F6}"/>
            </c:ext>
          </c:extLst>
        </c:ser>
        <c:ser>
          <c:idx val="1"/>
          <c:order val="1"/>
          <c:tx>
            <c:v>20MA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介面與股票歷史資料查詢!$L$11:$L$20</c:f>
              <c:numCache>
                <c:formatCode>General</c:formatCode>
                <c:ptCount val="10"/>
                <c:pt idx="0">
                  <c:v>9.5824999999999996</c:v>
                </c:pt>
                <c:pt idx="1">
                  <c:v>9.583000000000002</c:v>
                </c:pt>
                <c:pt idx="2">
                  <c:v>9.5845000000000002</c:v>
                </c:pt>
                <c:pt idx="3">
                  <c:v>9.5839999999999996</c:v>
                </c:pt>
                <c:pt idx="4">
                  <c:v>9.5860000000000021</c:v>
                </c:pt>
                <c:pt idx="5">
                  <c:v>9.586999999999998</c:v>
                </c:pt>
                <c:pt idx="6">
                  <c:v>9.5909999999999975</c:v>
                </c:pt>
                <c:pt idx="7">
                  <c:v>9.5965000000000007</c:v>
                </c:pt>
                <c:pt idx="8">
                  <c:v>9.6064999999999987</c:v>
                </c:pt>
                <c:pt idx="9">
                  <c:v>9.6114999999999977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96-45FB-A474-464EA96D5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347343"/>
        <c:axId val="1725346927"/>
      </c:scatterChart>
      <c:valAx>
        <c:axId val="172534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346927"/>
        <c:crosses val="autoZero"/>
        <c:crossBetween val="midCat"/>
      </c:valAx>
      <c:valAx>
        <c:axId val="172534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347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KD</a:t>
            </a:r>
            <a:r>
              <a:rPr lang="zh-TW" altLang="en-US"/>
              <a:t>值</a:t>
            </a:r>
          </a:p>
        </c:rich>
      </c:tx>
      <c:layout>
        <c:manualLayout>
          <c:xMode val="edge"/>
          <c:yMode val="edge"/>
          <c:x val="0.46152777777777776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K值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介面與股票歷史資料查詢!$N$11:$N$20</c:f>
              <c:numCache>
                <c:formatCode>General</c:formatCode>
                <c:ptCount val="10"/>
                <c:pt idx="0">
                  <c:v>62.638938282894586</c:v>
                </c:pt>
                <c:pt idx="1">
                  <c:v>58.244121710056433</c:v>
                </c:pt>
                <c:pt idx="2">
                  <c:v>58.794753993656172</c:v>
                </c:pt>
                <c:pt idx="3">
                  <c:v>59.620702419055775</c:v>
                </c:pt>
                <c:pt idx="4">
                  <c:v>46.573910771441263</c:v>
                </c:pt>
                <c:pt idx="5">
                  <c:v>41.28943758573341</c:v>
                </c:pt>
                <c:pt idx="6">
                  <c:v>41.93415637860047</c:v>
                </c:pt>
                <c:pt idx="7">
                  <c:v>47.901234567900971</c:v>
                </c:pt>
                <c:pt idx="8">
                  <c:v>51.851851851851819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AB-4901-AFC9-3C24EFFBB232}"/>
            </c:ext>
          </c:extLst>
        </c:ser>
        <c:ser>
          <c:idx val="1"/>
          <c:order val="1"/>
          <c:tx>
            <c:v>D值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介面與股票歷史資料查詢!$O$11:$O$20</c:f>
              <c:numCache>
                <c:formatCode>General</c:formatCode>
                <c:ptCount val="10"/>
                <c:pt idx="0">
                  <c:v>57.4372857408976</c:v>
                </c:pt>
                <c:pt idx="1">
                  <c:v>54.836459469899111</c:v>
                </c:pt>
                <c:pt idx="2">
                  <c:v>53.13262834982045</c:v>
                </c:pt>
                <c:pt idx="3">
                  <c:v>50.301565527902589</c:v>
                </c:pt>
                <c:pt idx="4">
                  <c:v>45.641997082325993</c:v>
                </c:pt>
                <c:pt idx="5">
                  <c:v>45.176040237768355</c:v>
                </c:pt>
                <c:pt idx="6">
                  <c:v>47.119341563785831</c:v>
                </c:pt>
                <c:pt idx="7">
                  <c:v>49.711934156378511</c:v>
                </c:pt>
                <c:pt idx="8">
                  <c:v>50.617283950617278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AB-4901-AFC9-3C24EFFB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83183"/>
        <c:axId val="1791184015"/>
      </c:scatterChart>
      <c:valAx>
        <c:axId val="1791183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184015"/>
        <c:crosses val="autoZero"/>
        <c:crossBetween val="midCat"/>
      </c:valAx>
      <c:valAx>
        <c:axId val="17911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183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RSI值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介面與股票歷史資料查詢!$R$11:$R$20</c:f>
              <c:numCache>
                <c:formatCode>General</c:formatCode>
                <c:ptCount val="10"/>
                <c:pt idx="0">
                  <c:v>6.9999999999999993E-2</c:v>
                </c:pt>
                <c:pt idx="1">
                  <c:v>5.9999999999999991E-2</c:v>
                </c:pt>
                <c:pt idx="2">
                  <c:v>-1.9999999999999997E-2</c:v>
                </c:pt>
                <c:pt idx="3">
                  <c:v>-1.9999999999999997E-2</c:v>
                </c:pt>
                <c:pt idx="4">
                  <c:v>7.0000000000000007E-2</c:v>
                </c:pt>
                <c:pt idx="5">
                  <c:v>0.05</c:v>
                </c:pt>
                <c:pt idx="6">
                  <c:v>2.0000000000000004E-2</c:v>
                </c:pt>
                <c:pt idx="7">
                  <c:v>-1.999999999999999E-2</c:v>
                </c:pt>
                <c:pt idx="8">
                  <c:v>-1.9999999999999997E-2</c:v>
                </c:pt>
                <c:pt idx="9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65-4A81-8E21-FEE12C31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353583"/>
        <c:axId val="1725347759"/>
      </c:scatterChart>
      <c:valAx>
        <c:axId val="172535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347759"/>
        <c:crosses val="autoZero"/>
        <c:crossBetween val="midCat"/>
      </c:valAx>
      <c:valAx>
        <c:axId val="172534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353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MACD</a:t>
            </a:r>
            <a:r>
              <a:rPr lang="zh-TW" altLang="en-US"/>
              <a:t>與</a:t>
            </a:r>
            <a:r>
              <a:rPr lang="en-US" altLang="zh-TW"/>
              <a:t>DIF</a:t>
            </a:r>
            <a:r>
              <a:rPr lang="zh-TW" altLang="en-US"/>
              <a:t>分析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介面與股票歷史資料查詢!$A$11:$A$30</c:f>
              <c:numCache>
                <c:formatCode>m/d/yyyy</c:formatCode>
                <c:ptCount val="2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  <c:pt idx="10">
                  <c:v>42880</c:v>
                </c:pt>
                <c:pt idx="11">
                  <c:v>42879</c:v>
                </c:pt>
                <c:pt idx="12">
                  <c:v>42878</c:v>
                </c:pt>
                <c:pt idx="13">
                  <c:v>42877</c:v>
                </c:pt>
                <c:pt idx="14">
                  <c:v>42874</c:v>
                </c:pt>
                <c:pt idx="15">
                  <c:v>42873</c:v>
                </c:pt>
                <c:pt idx="16">
                  <c:v>42872</c:v>
                </c:pt>
                <c:pt idx="17">
                  <c:v>42871</c:v>
                </c:pt>
                <c:pt idx="18">
                  <c:v>42870</c:v>
                </c:pt>
                <c:pt idx="19">
                  <c:v>42867</c:v>
                </c:pt>
              </c:numCache>
            </c:numRef>
          </c:xVal>
          <c:yVal>
            <c:numRef>
              <c:f>介面與股票歷史資料查詢!$U$11:$U$30</c:f>
              <c:numCache>
                <c:formatCode>General</c:formatCode>
                <c:ptCount val="20"/>
                <c:pt idx="0">
                  <c:v>1.7183277892444497</c:v>
                </c:pt>
                <c:pt idx="1">
                  <c:v>1.8194198353950179</c:v>
                </c:pt>
                <c:pt idx="2">
                  <c:v>1.9219857585123599</c:v>
                </c:pt>
                <c:pt idx="3">
                  <c:v>2.026977380258316</c:v>
                </c:pt>
                <c:pt idx="4">
                  <c:v>2.1315015610284886</c:v>
                </c:pt>
                <c:pt idx="5">
                  <c:v>2.229836038142003</c:v>
                </c:pt>
                <c:pt idx="6">
                  <c:v>2.3269853374666418</c:v>
                </c:pt>
                <c:pt idx="7">
                  <c:v>2.4212088382414834</c:v>
                </c:pt>
                <c:pt idx="8">
                  <c:v>2.5072728870378604</c:v>
                </c:pt>
                <c:pt idx="9">
                  <c:v>2.5796343036901401</c:v>
                </c:pt>
                <c:pt idx="10">
                  <c:v>2.6283627401635572</c:v>
                </c:pt>
                <c:pt idx="11">
                  <c:v>2.652327213769067</c:v>
                </c:pt>
                <c:pt idx="12">
                  <c:v>2.6494262006070946</c:v>
                </c:pt>
                <c:pt idx="13">
                  <c:v>2.6092227081624366</c:v>
                </c:pt>
                <c:pt idx="14">
                  <c:v>2.5209742838688918</c:v>
                </c:pt>
                <c:pt idx="15">
                  <c:v>2.3686139418234022</c:v>
                </c:pt>
                <c:pt idx="16">
                  <c:v>2.1386759933679107</c:v>
                </c:pt>
                <c:pt idx="17">
                  <c:v>1.8161199065266407</c:v>
                </c:pt>
                <c:pt idx="18">
                  <c:v>1.3739320297724857</c:v>
                </c:pt>
                <c:pt idx="19">
                  <c:v>0.77937321937321957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A6-4577-9201-12D315F3F60A}"/>
            </c:ext>
          </c:extLst>
        </c:ser>
        <c:ser>
          <c:idx val="1"/>
          <c:order val="1"/>
          <c:tx>
            <c:v>MACD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介面與股票歷史資料查詢!$A$11:$A$30</c:f>
              <c:numCache>
                <c:formatCode>m/d/yyyy</c:formatCode>
                <c:ptCount val="2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  <c:pt idx="10">
                  <c:v>42880</c:v>
                </c:pt>
                <c:pt idx="11">
                  <c:v>42879</c:v>
                </c:pt>
                <c:pt idx="12">
                  <c:v>42878</c:v>
                </c:pt>
                <c:pt idx="13">
                  <c:v>42877</c:v>
                </c:pt>
                <c:pt idx="14">
                  <c:v>42874</c:v>
                </c:pt>
                <c:pt idx="15">
                  <c:v>42873</c:v>
                </c:pt>
                <c:pt idx="16">
                  <c:v>42872</c:v>
                </c:pt>
                <c:pt idx="17">
                  <c:v>42871</c:v>
                </c:pt>
                <c:pt idx="18">
                  <c:v>42870</c:v>
                </c:pt>
                <c:pt idx="19">
                  <c:v>42867</c:v>
                </c:pt>
              </c:numCache>
            </c:numRef>
          </c:xVal>
          <c:yVal>
            <c:numRef>
              <c:f>介面與股票歷史資料查詢!$V$11:$V$30</c:f>
              <c:numCache>
                <c:formatCode>General</c:formatCode>
                <c:ptCount val="20"/>
                <c:pt idx="0">
                  <c:v>2.122612825036291</c:v>
                </c:pt>
                <c:pt idx="1">
                  <c:v>2.2183135488635903</c:v>
                </c:pt>
                <c:pt idx="2">
                  <c:v>2.3081960938378723</c:v>
                </c:pt>
                <c:pt idx="3">
                  <c:v>2.3893451444219505</c:v>
                </c:pt>
                <c:pt idx="4">
                  <c:v>2.4585061244607038</c:v>
                </c:pt>
                <c:pt idx="5">
                  <c:v>2.5115862519200318</c:v>
                </c:pt>
                <c:pt idx="6">
                  <c:v>2.5439349458896863</c:v>
                </c:pt>
                <c:pt idx="7">
                  <c:v>2.5485603463737707</c:v>
                </c:pt>
                <c:pt idx="8">
                  <c:v>2.5171678080544844</c:v>
                </c:pt>
                <c:pt idx="9">
                  <c:v>2.4403730324421269</c:v>
                </c:pt>
                <c:pt idx="10">
                  <c:v>2.306406113117943</c:v>
                </c:pt>
                <c:pt idx="11">
                  <c:v>2.100962833030128</c:v>
                </c:pt>
                <c:pt idx="12">
                  <c:v>2.0320422854377607</c:v>
                </c:pt>
                <c:pt idx="13">
                  <c:v>1.9438445832707123</c:v>
                </c:pt>
                <c:pt idx="14">
                  <c:v>1.832948229122092</c:v>
                </c:pt>
                <c:pt idx="15">
                  <c:v>1.6953430181727316</c:v>
                </c:pt>
                <c:pt idx="16">
                  <c:v>1.5270252872600643</c:v>
                </c:pt>
                <c:pt idx="17">
                  <c:v>1.3231417185574488</c:v>
                </c:pt>
                <c:pt idx="18">
                  <c:v>1.0766526245728527</c:v>
                </c:pt>
                <c:pt idx="19">
                  <c:v>0.77937321937321957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A6-4577-9201-12D315F3F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178191"/>
        <c:axId val="1791173199"/>
      </c:scatterChart>
      <c:valAx>
        <c:axId val="179117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173199"/>
        <c:crosses val="autoZero"/>
        <c:crossBetween val="midCat"/>
      </c:valAx>
      <c:valAx>
        <c:axId val="179117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178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乖離率分析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5日乖離率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介面與股票歷史資料查詢!$P$11:$P$20</c:f>
              <c:numCache>
                <c:formatCode>General</c:formatCode>
                <c:ptCount val="10"/>
                <c:pt idx="0">
                  <c:v>4.1684035014584821E-2</c:v>
                </c:pt>
                <c:pt idx="1">
                  <c:v>8.3402835696423025E-2</c:v>
                </c:pt>
                <c:pt idx="2">
                  <c:v>0</c:v>
                </c:pt>
                <c:pt idx="3">
                  <c:v>0.10449320794148158</c:v>
                </c:pt>
                <c:pt idx="4">
                  <c:v>0.60656766366868675</c:v>
                </c:pt>
                <c:pt idx="5">
                  <c:v>0.23017367650136267</c:v>
                </c:pt>
                <c:pt idx="6">
                  <c:v>-0.23007738966745467</c:v>
                </c:pt>
                <c:pt idx="7">
                  <c:v>-0.35549979088250172</c:v>
                </c:pt>
                <c:pt idx="8">
                  <c:v>-0.25094102885824637</c:v>
                </c:pt>
                <c:pt idx="9">
                  <c:v>0.41841004184101388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F-4036-81DB-55354E952026}"/>
            </c:ext>
          </c:extLst>
        </c:ser>
        <c:ser>
          <c:idx val="1"/>
          <c:order val="1"/>
          <c:tx>
            <c:v>20日乖離率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介面與股票歷史資料查詢!$A$11:$A$20</c:f>
              <c:numCache>
                <c:formatCode>m/d/yyyy</c:formatCode>
                <c:ptCount val="10"/>
                <c:pt idx="0">
                  <c:v>42895</c:v>
                </c:pt>
                <c:pt idx="1">
                  <c:v>42894</c:v>
                </c:pt>
                <c:pt idx="2">
                  <c:v>42893</c:v>
                </c:pt>
                <c:pt idx="3">
                  <c:v>42892</c:v>
                </c:pt>
                <c:pt idx="4">
                  <c:v>42891</c:v>
                </c:pt>
                <c:pt idx="5">
                  <c:v>42889</c:v>
                </c:pt>
                <c:pt idx="6">
                  <c:v>42888</c:v>
                </c:pt>
                <c:pt idx="7">
                  <c:v>42887</c:v>
                </c:pt>
                <c:pt idx="8">
                  <c:v>42886</c:v>
                </c:pt>
                <c:pt idx="9">
                  <c:v>42881</c:v>
                </c:pt>
              </c:numCache>
            </c:numRef>
          </c:xVal>
          <c:yVal>
            <c:numRef>
              <c:f>介面與股票歷史資料查詢!$Q$11:$Q$20</c:f>
              <c:numCache>
                <c:formatCode>General</c:formatCode>
                <c:ptCount val="10"/>
                <c:pt idx="0">
                  <c:v>0.18262457605009208</c:v>
                </c:pt>
                <c:pt idx="1">
                  <c:v>0.17739747469474779</c:v>
                </c:pt>
                <c:pt idx="2">
                  <c:v>-4.695080598883792E-2</c:v>
                </c:pt>
                <c:pt idx="3">
                  <c:v>-4.1736227045070531E-2</c:v>
                </c:pt>
                <c:pt idx="4">
                  <c:v>0.35468391404128036</c:v>
                </c:pt>
                <c:pt idx="5">
                  <c:v>-7.3015541879606738E-2</c:v>
                </c:pt>
                <c:pt idx="6">
                  <c:v>-0.53174851423207592</c:v>
                </c:pt>
                <c:pt idx="7">
                  <c:v>-0.6929609753556123</c:v>
                </c:pt>
                <c:pt idx="8">
                  <c:v>-0.69223962941757744</c:v>
                </c:pt>
                <c:pt idx="9">
                  <c:v>-0.11964833792850305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CF-4036-81DB-55354E952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019711"/>
        <c:axId val="1793028031"/>
      </c:scatterChart>
      <c:valAx>
        <c:axId val="179301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028031"/>
        <c:crosses val="autoZero"/>
        <c:crossBetween val="midCat"/>
      </c:valAx>
      <c:valAx>
        <c:axId val="179302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01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83820</xdr:rowOff>
        </xdr:from>
        <xdr:to>
          <xdr:col>13</xdr:col>
          <xdr:colOff>7620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取得當日所有上市公司股票資料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4</xdr:row>
          <xdr:rowOff>91440</xdr:rowOff>
        </xdr:from>
        <xdr:to>
          <xdr:col>13</xdr:col>
          <xdr:colOff>30480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刪除當日所有上市公司股票資料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144780</xdr:rowOff>
        </xdr:from>
        <xdr:to>
          <xdr:col>7</xdr:col>
          <xdr:colOff>358140</xdr:colOff>
          <xdr:row>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取得指定股票代碼歷史行情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3</xdr:row>
          <xdr:rowOff>160020</xdr:rowOff>
        </xdr:from>
        <xdr:to>
          <xdr:col>7</xdr:col>
          <xdr:colOff>335280</xdr:colOff>
          <xdr:row>5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歷史資料技術分析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83820</xdr:colOff>
      <xdr:row>20</xdr:row>
      <xdr:rowOff>118110</xdr:rowOff>
    </xdr:from>
    <xdr:to>
      <xdr:col>17</xdr:col>
      <xdr:colOff>388620</xdr:colOff>
      <xdr:row>35</xdr:row>
      <xdr:rowOff>118110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76200</xdr:colOff>
      <xdr:row>35</xdr:row>
      <xdr:rowOff>163830</xdr:rowOff>
    </xdr:from>
    <xdr:to>
      <xdr:col>17</xdr:col>
      <xdr:colOff>381000</xdr:colOff>
      <xdr:row>50</xdr:row>
      <xdr:rowOff>163830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114300</xdr:colOff>
      <xdr:row>51</xdr:row>
      <xdr:rowOff>72390</xdr:rowOff>
    </xdr:from>
    <xdr:to>
      <xdr:col>17</xdr:col>
      <xdr:colOff>419100</xdr:colOff>
      <xdr:row>66</xdr:row>
      <xdr:rowOff>72390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480060</xdr:colOff>
      <xdr:row>30</xdr:row>
      <xdr:rowOff>179070</xdr:rowOff>
    </xdr:from>
    <xdr:to>
      <xdr:col>25</xdr:col>
      <xdr:colOff>175260</xdr:colOff>
      <xdr:row>45</xdr:row>
      <xdr:rowOff>179070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525780</xdr:colOff>
      <xdr:row>46</xdr:row>
      <xdr:rowOff>133350</xdr:rowOff>
    </xdr:from>
    <xdr:to>
      <xdr:col>25</xdr:col>
      <xdr:colOff>220980</xdr:colOff>
      <xdr:row>61</xdr:row>
      <xdr:rowOff>133350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nyes.com/twstock/index2real.aspx?itype=TSE&amp;stitle=%e9%9b%bb%e8%85%a6%e5%8f%8a%e5%91%a8%e9%82%8a%e8%a8%ad%e5%82%99&amp;subtitle=8888M&amp;groupstr=25" TargetMode="External"/><Relationship Id="rId18" Type="http://schemas.openxmlformats.org/officeDocument/2006/relationships/hyperlink" Target="https://www.cnyes.com/twstock/index2real.aspx?itype=TSE&amp;stitle=%e8%b3%87%e8%a8%8a%e6%9c%8d%e5%8b%99%e6%a5%ad&amp;subtitle=8888M&amp;groupstr=30" TargetMode="External"/><Relationship Id="rId26" Type="http://schemas.openxmlformats.org/officeDocument/2006/relationships/hyperlink" Target="https://www.cnyes.com/twstock/index2real.aspx?itype=TDR&amp;subcode=9100_9199&amp;stitle=%e5%ad%98%e8%a8%97%e6%86%91%e8%ad%89&amp;groupstr=00" TargetMode="External"/><Relationship Id="rId39" Type="http://schemas.openxmlformats.org/officeDocument/2006/relationships/hyperlink" Target="https://www.cnyes.com/twstock/index2real.aspx?itype=TPHD&amp;stitle=%e9%ab%98%e6%ae%96%e5%88%a9%e7%8e%87" TargetMode="External"/><Relationship Id="rId21" Type="http://schemas.openxmlformats.org/officeDocument/2006/relationships/hyperlink" Target="https://www.cnyes.com/twstock/index2real.aspx?itype=TSE&amp;subcode=2600_2699&amp;stitle=%e9%81%8b%e8%bc%b8&amp;subtitle=8888O&amp;groupstr=15" TargetMode="External"/><Relationship Id="rId34" Type="http://schemas.openxmlformats.org/officeDocument/2006/relationships/hyperlink" Target="https://www.cnyes.com/twstock/tw_astock_list.aspx" TargetMode="External"/><Relationship Id="rId42" Type="http://schemas.openxmlformats.org/officeDocument/2006/relationships/hyperlink" Target="https://www.cnyes.com/twstock/index2real.aspx?itype=TSE&amp;subcode=1700_1799&amp;stitle=%E7%94%9F%E6%8A%80&amp;subtitle=8888G&amp;groupstr=22" TargetMode="External"/><Relationship Id="rId7" Type="http://schemas.openxmlformats.org/officeDocument/2006/relationships/hyperlink" Target="https://www.cnyes.com/twstock/index2real.aspx?itype=TSE&amp;subcode=1800_1899&amp;stitle=%e7%8e%bb%e7%92%83&amp;subtitle=8888H&amp;groupstr=08" TargetMode="External"/><Relationship Id="rId2" Type="http://schemas.openxmlformats.org/officeDocument/2006/relationships/hyperlink" Target="https://www.cnyes.com/twstock/index2real.aspx?itype=TSE&amp;subcode=1100_1199&amp;stitle=%E6%B0%B4%E6%B3%A5&amp;subtitle=8888A&amp;groupstr=01" TargetMode="External"/><Relationship Id="rId16" Type="http://schemas.openxmlformats.org/officeDocument/2006/relationships/hyperlink" Target="https://www.cnyes.com/twstock/index2real.aspx?itype=TSE&amp;stitle=%e9%9b%bb%e5%ad%90%e9%9b%b6%e7%b5%84%e4%bb%b6%e6%a5%ad&amp;subtitle=8888M&amp;groupstr=28" TargetMode="External"/><Relationship Id="rId20" Type="http://schemas.openxmlformats.org/officeDocument/2006/relationships/hyperlink" Target="https://www.cnyes.com/twstock/index2real.aspx?itype=TSE&amp;subcode=2500_2599&amp;stitle=%e7%87%9f%e9%80%a0&amp;subtitle=8888N&amp;groupstr=14" TargetMode="External"/><Relationship Id="rId29" Type="http://schemas.openxmlformats.org/officeDocument/2006/relationships/hyperlink" Target="https://www.cnyes.com/twstock/index2real.aspx?itype=W&amp;stitle=%e6%ac%8a%e8%ad%89" TargetMode="External"/><Relationship Id="rId41" Type="http://schemas.openxmlformats.org/officeDocument/2006/relationships/hyperlink" Target="https://www.cnyes.com/twstock/index2real.aspx?itype=EMP88&amp;stitle=%e5%8b%9e%e5%b7%a5%e5%b0%b1%e6%a5%ad88" TargetMode="External"/><Relationship Id="rId1" Type="http://schemas.openxmlformats.org/officeDocument/2006/relationships/hyperlink" Target="https://www.cnyes.com/twstock/index2real.aspx?itype=TSE&amp;subcode=1200_1299&amp;stitle=%E9%A3%9F%E5%93%81&amp;subtitle=8888B&amp;groupstr=02" TargetMode="External"/><Relationship Id="rId6" Type="http://schemas.openxmlformats.org/officeDocument/2006/relationships/hyperlink" Target="https://www.cnyes.com/twstock/index2real.aspx?itype=TSE&amp;subcode=1700_1799&amp;stitle=%e7%94%9f%e6%8a%80&amp;subtitle=8888G&amp;groupstr=22" TargetMode="External"/><Relationship Id="rId11" Type="http://schemas.openxmlformats.org/officeDocument/2006/relationships/hyperlink" Target="https://www.cnyes.com/twstock/index2real.aspx?itype=TSE&amp;subcode=2200_2299&amp;stitle=%e6%b1%bd%e8%bb%8a&amp;subtitle=8888L&amp;groupstr=12" TargetMode="External"/><Relationship Id="rId24" Type="http://schemas.openxmlformats.org/officeDocument/2006/relationships/hyperlink" Target="https://www.cnyes.com/twstock/index2real.aspx?itype=TSE&amp;subcode=2900_2999&amp;stitle=%e7%99%be%e8%b2%a8&amp;subtitle=8888R&amp;groupstr=18" TargetMode="External"/><Relationship Id="rId32" Type="http://schemas.openxmlformats.org/officeDocument/2006/relationships/hyperlink" Target="https://www.cnyes.com/twstock/index2real.aspx?itype=TW100&amp;stitle=%e5%8f%b0%e7%81%a3%e4%b8%ad%e5%9e%8b100%e6%8c%87%e6%95%b8" TargetMode="External"/><Relationship Id="rId37" Type="http://schemas.openxmlformats.org/officeDocument/2006/relationships/hyperlink" Target="https://www.cnyes.com/twstock/index2real.aspx?itype=TBB&amp;stitle=%e7%89%9b%e7%86%8a%e8%ad%89" TargetMode="External"/><Relationship Id="rId40" Type="http://schemas.openxmlformats.org/officeDocument/2006/relationships/hyperlink" Target="https://www.cnyes.com/twstock/index2real.aspx?itype=TPCI&amp;stitle=%e6%ab%83%e8%b2%b7%e8%96%aa%e9%85%ac" TargetMode="External"/><Relationship Id="rId5" Type="http://schemas.openxmlformats.org/officeDocument/2006/relationships/hyperlink" Target="https://www.cnyes.com/twstock/index2real.aspx?itype=TSE&amp;subcode=1700_1799&amp;stitle=%e5%8c%96%e5%ad%b8&amp;subtitle=8888G&amp;groupstr=21" TargetMode="External"/><Relationship Id="rId15" Type="http://schemas.openxmlformats.org/officeDocument/2006/relationships/hyperlink" Target="https://www.cnyes.com/twstock/index2real.aspx?itype=TSE&amp;stitle=%e9%80%9a%e4%bf%a1%e7%b6%b2%e8%b7%af%e6%a5%ad&amp;subtitle=8888M&amp;groupstr=27" TargetMode="External"/><Relationship Id="rId23" Type="http://schemas.openxmlformats.org/officeDocument/2006/relationships/hyperlink" Target="https://www.cnyes.com/twstock/index2real.aspx?itype=TSE&amp;subcode=2800_2899&amp;stitle=%e9%87%91%e8%9e%8d&amp;subtitle=8888Q&amp;groupstr=17" TargetMode="External"/><Relationship Id="rId28" Type="http://schemas.openxmlformats.org/officeDocument/2006/relationships/hyperlink" Target="https://www.cnyes.com/twstock/index2real.aspx?itype=FUND&amp;stitle=%e5%9f%ba%e9%87%91" TargetMode="External"/><Relationship Id="rId36" Type="http://schemas.openxmlformats.org/officeDocument/2006/relationships/hyperlink" Target="https://www.cnyes.com/twstock/index2real.aspx?itype=TWEI&amp;stitle=%e5%8f%b0%e7%81%a3%e9%ab%98%e8%82%a1%e6%81%af%e6%8c%87%e6%95%b8" TargetMode="External"/><Relationship Id="rId10" Type="http://schemas.openxmlformats.org/officeDocument/2006/relationships/hyperlink" Target="https://www.cnyes.com/twstock/index2real.aspx?itype=TSE&amp;subcode=2100_2199&amp;stitle=%e6%a9%a1%e8%86%a0&amp;subtitle=8888K&amp;groupstr=11" TargetMode="External"/><Relationship Id="rId19" Type="http://schemas.openxmlformats.org/officeDocument/2006/relationships/hyperlink" Target="https://www.cnyes.com/twstock/index2real.aspx?itype=TSE&amp;stitle=%e5%85%b6%e4%bb%96%e9%9b%bb%e5%ad%90%e6%a5%ad&amp;subtitle=8888M&amp;groupstr=31" TargetMode="External"/><Relationship Id="rId31" Type="http://schemas.openxmlformats.org/officeDocument/2006/relationships/hyperlink" Target="https://www.cnyes.com/twstock/index2real.aspx?itype=TW50&amp;stitle=%e8%87%ba%e7%81%a3%e4%ba%94%e5%8d%81%e6%8c%87%e6%95%b8%e6%88%90%e4%bb%bd%e8%82%a1" TargetMode="External"/><Relationship Id="rId4" Type="http://schemas.openxmlformats.org/officeDocument/2006/relationships/hyperlink" Target="https://www.cnyes.com/twstock/index2real.aspx?itype=TSE&amp;subcode=1600_1699&amp;stitle=%e9%9b%bb%e5%99%a8&amp;subtitle=8888F&amp;groupstr=06" TargetMode="External"/><Relationship Id="rId9" Type="http://schemas.openxmlformats.org/officeDocument/2006/relationships/hyperlink" Target="https://www.cnyes.com/twstock/index2real.aspx?itype=TSE&amp;subcode=2000_2099&amp;stitle=%e9%8b%bc%e9%90%b5&amp;subtitle=8888J&amp;groupstr=10" TargetMode="External"/><Relationship Id="rId14" Type="http://schemas.openxmlformats.org/officeDocument/2006/relationships/hyperlink" Target="https://www.cnyes.com/twstock/index2real.aspx?itype=TSE&amp;stitle=%e5%85%89%e9%9b%bb%e6%a5%ad&amp;subtitle=8888M&amp;groupstr=26" TargetMode="External"/><Relationship Id="rId22" Type="http://schemas.openxmlformats.org/officeDocument/2006/relationships/hyperlink" Target="https://www.cnyes.com/twstock/index2real.aspx?itype=TSE&amp;subcode=2700_2799&amp;stitle=%e8%a7%80%e5%85%89&amp;subtitle=8888P&amp;groupstr=16" TargetMode="External"/><Relationship Id="rId27" Type="http://schemas.openxmlformats.org/officeDocument/2006/relationships/hyperlink" Target="https://www.cnyes.com/twstock/index2real.aspx?itype=TSE&amp;subcode=9900_9999&amp;stitle=%e5%85%b6%e4%bb%96&amp;subtitle=8888S&amp;groupstr=20" TargetMode="External"/><Relationship Id="rId30" Type="http://schemas.openxmlformats.org/officeDocument/2006/relationships/hyperlink" Target="https://www.cnyes.com/twstock/index2real.aspx?itype=DEBT&amp;stitle=%e5%85%ac%e5%8f%b8%e5%82%b5" TargetMode="External"/><Relationship Id="rId35" Type="http://schemas.openxmlformats.org/officeDocument/2006/relationships/hyperlink" Target="https://www.cnyes.com/twstock/index2real.aspx?itype=TWDP&amp;stitle=%e5%8f%b0%e7%81%a3%e7%99%bc%e9%81%94%e6%8c%87%e6%95%b8" TargetMode="External"/><Relationship Id="rId43" Type="http://schemas.openxmlformats.org/officeDocument/2006/relationships/printerSettings" Target="../printerSettings/printerSettings2.bin"/><Relationship Id="rId8" Type="http://schemas.openxmlformats.org/officeDocument/2006/relationships/hyperlink" Target="https://www.cnyes.com/twstock/index2real.aspx?itype=TSE&amp;subcode=1900_1999&amp;stitle=%e9%80%a0%e7%b4%99&amp;subtitle=8888I&amp;groupstr=09" TargetMode="External"/><Relationship Id="rId3" Type="http://schemas.openxmlformats.org/officeDocument/2006/relationships/hyperlink" Target="https://www.cnyes.com/twstock/index2real.aspx?itype=TSE&amp;subcode=1300_1399&amp;stitle=%E5%A1%91%E8%86%A0&amp;subtitle=8888C&amp;groupstr=03" TargetMode="External"/><Relationship Id="rId12" Type="http://schemas.openxmlformats.org/officeDocument/2006/relationships/hyperlink" Target="https://www.cnyes.com/twstock/index2real.aspx?itype=TSE&amp;stitle=%e5%8d%8a%e5%b0%8e%e9%ab%94&amp;subtitle=8888M&amp;groupstr=24" TargetMode="External"/><Relationship Id="rId17" Type="http://schemas.openxmlformats.org/officeDocument/2006/relationships/hyperlink" Target="https://www.cnyes.com/twstock/index2real.aspx?itype=TSE&amp;stitle=%e9%9b%bb%e5%ad%90%e9%80%9a%e8%b7%af%e6%a5%ad&amp;subtitle=8888M&amp;groupstr=29" TargetMode="External"/><Relationship Id="rId25" Type="http://schemas.openxmlformats.org/officeDocument/2006/relationships/hyperlink" Target="https://www.cnyes.com/twstock/index2real.aspx?itype=TSE&amp;stitle=%e6%b2%b9%e9%9b%bb&amp;groupstr=23" TargetMode="External"/><Relationship Id="rId33" Type="http://schemas.openxmlformats.org/officeDocument/2006/relationships/hyperlink" Target="https://www.cnyes.com/twstock/index2real.aspx?itype=group&amp;subcode=2_22&amp;stitle=%e6%a6%82%e5%bf%b5%e8%82%a1(%e5%8f%b0%e8%82%a1ETF%e6%88%90%e4%bb%bd%e8%82%a1)" TargetMode="External"/><Relationship Id="rId38" Type="http://schemas.openxmlformats.org/officeDocument/2006/relationships/hyperlink" Target="https://www.cnyes.com/twstock/index2real.aspx?itype=TWTEC&amp;stitle=%e5%8f%b0%e7%81%a3%e8%b3%87%e8%a8%8a%e7%a7%91%e6%8a%8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3:V53"/>
  <sheetViews>
    <sheetView tabSelected="1" topLeftCell="E1" workbookViewId="0">
      <selection activeCell="V11" sqref="V11:V30"/>
    </sheetView>
  </sheetViews>
  <sheetFormatPr defaultRowHeight="14.4" x14ac:dyDescent="0.3"/>
  <cols>
    <col min="1" max="2" width="9.5546875" bestFit="1" customWidth="1"/>
  </cols>
  <sheetData>
    <row r="3" spans="1:22" x14ac:dyDescent="0.3">
      <c r="A3" s="6" t="s">
        <v>98</v>
      </c>
      <c r="B3">
        <v>1108</v>
      </c>
    </row>
    <row r="4" spans="1:22" x14ac:dyDescent="0.3">
      <c r="A4" s="7" t="s">
        <v>99</v>
      </c>
      <c r="B4" s="5">
        <v>42835</v>
      </c>
    </row>
    <row r="5" spans="1:22" x14ac:dyDescent="0.3">
      <c r="A5" s="8" t="s">
        <v>100</v>
      </c>
      <c r="B5" s="5">
        <v>42897</v>
      </c>
    </row>
    <row r="9" spans="1:22" x14ac:dyDescent="0.3">
      <c r="P9" t="s">
        <v>106</v>
      </c>
      <c r="Q9" s="12" t="s">
        <v>107</v>
      </c>
      <c r="S9" t="s">
        <v>110</v>
      </c>
      <c r="T9" t="s">
        <v>112</v>
      </c>
    </row>
    <row r="10" spans="1:22" x14ac:dyDescent="0.3">
      <c r="A10" s="4" t="s">
        <v>94</v>
      </c>
      <c r="B10" s="4" t="s">
        <v>91</v>
      </c>
      <c r="C10" s="4" t="s">
        <v>92</v>
      </c>
      <c r="D10" s="4" t="s">
        <v>93</v>
      </c>
      <c r="E10" s="4" t="s">
        <v>95</v>
      </c>
      <c r="F10" s="4" t="s">
        <v>88</v>
      </c>
      <c r="G10" s="4" t="s">
        <v>89</v>
      </c>
      <c r="H10" s="4" t="s">
        <v>90</v>
      </c>
      <c r="I10" s="4" t="s">
        <v>96</v>
      </c>
      <c r="J10" s="4" t="s">
        <v>97</v>
      </c>
      <c r="K10" s="12" t="s">
        <v>101</v>
      </c>
      <c r="L10" s="12" t="s">
        <v>102</v>
      </c>
      <c r="M10" s="12" t="s">
        <v>105</v>
      </c>
      <c r="N10" s="12" t="s">
        <v>103</v>
      </c>
      <c r="O10" s="12" t="s">
        <v>104</v>
      </c>
      <c r="P10" s="12" t="s">
        <v>108</v>
      </c>
      <c r="Q10" s="12" t="s">
        <v>108</v>
      </c>
      <c r="R10" s="12" t="s">
        <v>109</v>
      </c>
      <c r="S10" s="12" t="s">
        <v>111</v>
      </c>
      <c r="T10" s="12" t="s">
        <v>111</v>
      </c>
      <c r="U10" s="12" t="s">
        <v>113</v>
      </c>
      <c r="V10" s="12" t="s">
        <v>114</v>
      </c>
    </row>
    <row r="11" spans="1:22" x14ac:dyDescent="0.3">
      <c r="A11" s="9">
        <v>42895</v>
      </c>
      <c r="B11" s="4">
        <v>9.6</v>
      </c>
      <c r="C11" s="4">
        <v>9.61</v>
      </c>
      <c r="D11" s="4">
        <v>9.58</v>
      </c>
      <c r="E11" s="4">
        <v>9.6</v>
      </c>
      <c r="F11" s="4">
        <v>0</v>
      </c>
      <c r="G11" s="10">
        <v>0</v>
      </c>
      <c r="H11" s="4">
        <v>558</v>
      </c>
      <c r="I11" s="11">
        <v>5358</v>
      </c>
      <c r="J11" s="4">
        <v>16.84</v>
      </c>
      <c r="K11">
        <f>AVERAGE(E11:E15)</f>
        <v>9.5960000000000001</v>
      </c>
      <c r="L11">
        <f>AVERAGE(E11:E30)</f>
        <v>9.5824999999999996</v>
      </c>
      <c r="M11">
        <f>(E11-MIN(D11:D19))/(MAX(C11:C19)-MIN(D11:D19))*100</f>
        <v>69.230769230768701</v>
      </c>
      <c r="N11">
        <f t="shared" ref="N11:N18" si="0">N12*2/3+M12/3</f>
        <v>62.638938282894586</v>
      </c>
      <c r="O11">
        <f t="shared" ref="O11:O18" si="1">O12*2/3+N11/3</f>
        <v>57.4372857408976</v>
      </c>
      <c r="P11">
        <f>(E11-K11)/K11*100</f>
        <v>4.1684035014584821E-2</v>
      </c>
      <c r="Q11">
        <f>(E11-L11)/L11*100</f>
        <v>0.18262457605009208</v>
      </c>
      <c r="R11">
        <f>SUM(F11:F17)</f>
        <v>6.9999999999999993E-2</v>
      </c>
      <c r="S11">
        <f>(2/13)*E11+(11/13)*S12</f>
        <v>9.2427536188581563</v>
      </c>
      <c r="T11">
        <f>(2/27)*E11+(25/27)*T12</f>
        <v>7.5244258296137065</v>
      </c>
      <c r="U11">
        <f>S11-T11</f>
        <v>1.7183277892444497</v>
      </c>
      <c r="V11">
        <f>AVERAGE(U11:U19)</f>
        <v>2.122612825036291</v>
      </c>
    </row>
    <row r="12" spans="1:22" x14ac:dyDescent="0.3">
      <c r="A12" s="9">
        <v>42894</v>
      </c>
      <c r="B12" s="4">
        <v>9.58</v>
      </c>
      <c r="C12" s="4">
        <v>9.61</v>
      </c>
      <c r="D12" s="4">
        <v>9.57</v>
      </c>
      <c r="E12" s="4">
        <v>9.6</v>
      </c>
      <c r="F12" s="4">
        <v>0.02</v>
      </c>
      <c r="G12" s="10">
        <v>2.0999999999999999E-3</v>
      </c>
      <c r="H12" s="4">
        <v>592</v>
      </c>
      <c r="I12" s="11">
        <v>5685</v>
      </c>
      <c r="J12" s="4">
        <v>16.84</v>
      </c>
      <c r="K12">
        <f t="shared" ref="K12:K20" si="2">AVERAGE(E12:E16)</f>
        <v>9.5919999999999987</v>
      </c>
      <c r="L12">
        <f t="shared" ref="L12:L20" si="3">AVERAGE(E12:E31)</f>
        <v>9.583000000000002</v>
      </c>
      <c r="M12">
        <f t="shared" ref="M12:M20" si="4">(E12-MIN(D12:D20))/(MAX(C12:C20)-MIN(D12:D20))*100</f>
        <v>71.428571428570891</v>
      </c>
      <c r="N12">
        <f t="shared" si="0"/>
        <v>58.244121710056433</v>
      </c>
      <c r="O12">
        <f t="shared" si="1"/>
        <v>54.836459469899111</v>
      </c>
      <c r="P12">
        <f t="shared" ref="P12:P20" si="5">(E12-K12)/K12*100</f>
        <v>8.3402835696423025E-2</v>
      </c>
      <c r="Q12">
        <f t="shared" ref="Q12:Q20" si="6">(E12-L12)/L12*100</f>
        <v>0.17739747469474779</v>
      </c>
      <c r="R12">
        <f t="shared" ref="R12:R20" si="7">SUM(F12:F18)</f>
        <v>5.9999999999999991E-2</v>
      </c>
      <c r="S12">
        <f t="shared" ref="S12:S30" si="8">(2/13)*E12+(11/13)*S13</f>
        <v>9.1777997313778208</v>
      </c>
      <c r="T12">
        <f t="shared" ref="T12:T30" si="9">(2/27)*E12+(25/27)*T13</f>
        <v>7.3583798959828028</v>
      </c>
      <c r="U12">
        <f t="shared" ref="U12:U30" si="10">S12-T12</f>
        <v>1.8194198353950179</v>
      </c>
      <c r="V12">
        <f t="shared" ref="V12:V30" si="11">AVERAGE(U12:U20)</f>
        <v>2.2183135488635903</v>
      </c>
    </row>
    <row r="13" spans="1:22" x14ac:dyDescent="0.3">
      <c r="A13" s="9">
        <v>42893</v>
      </c>
      <c r="B13" s="4">
        <v>9.6199999999999992</v>
      </c>
      <c r="C13" s="4">
        <v>9.6199999999999992</v>
      </c>
      <c r="D13" s="4">
        <v>9.58</v>
      </c>
      <c r="E13" s="4">
        <v>9.58</v>
      </c>
      <c r="F13" s="4">
        <v>0</v>
      </c>
      <c r="G13" s="10">
        <v>0</v>
      </c>
      <c r="H13" s="4">
        <v>536</v>
      </c>
      <c r="I13" s="11">
        <v>5146</v>
      </c>
      <c r="J13" s="4">
        <v>16.809999999999999</v>
      </c>
      <c r="K13">
        <f t="shared" si="2"/>
        <v>9.58</v>
      </c>
      <c r="L13">
        <f t="shared" si="3"/>
        <v>9.5845000000000002</v>
      </c>
      <c r="M13">
        <f t="shared" si="4"/>
        <v>57.142857142856961</v>
      </c>
      <c r="N13">
        <f t="shared" si="0"/>
        <v>58.794753993656172</v>
      </c>
      <c r="O13">
        <f t="shared" si="1"/>
        <v>53.13262834982045</v>
      </c>
      <c r="P13">
        <f t="shared" si="5"/>
        <v>0</v>
      </c>
      <c r="Q13">
        <f t="shared" si="6"/>
        <v>-4.695080598883792E-2</v>
      </c>
      <c r="R13">
        <f t="shared" si="7"/>
        <v>-1.9999999999999997E-2</v>
      </c>
      <c r="S13">
        <f t="shared" si="8"/>
        <v>9.1010360461737871</v>
      </c>
      <c r="T13">
        <f t="shared" si="9"/>
        <v>7.1790502876614273</v>
      </c>
      <c r="U13">
        <f t="shared" si="10"/>
        <v>1.9219857585123599</v>
      </c>
      <c r="V13">
        <f t="shared" si="11"/>
        <v>2.3081960938378723</v>
      </c>
    </row>
    <row r="14" spans="1:22" x14ac:dyDescent="0.3">
      <c r="A14" s="9">
        <v>42892</v>
      </c>
      <c r="B14" s="4">
        <v>9.6199999999999992</v>
      </c>
      <c r="C14" s="4">
        <v>9.6300000000000008</v>
      </c>
      <c r="D14" s="4">
        <v>9.58</v>
      </c>
      <c r="E14" s="4">
        <v>9.58</v>
      </c>
      <c r="F14" s="4">
        <v>-0.04</v>
      </c>
      <c r="G14" s="10">
        <v>-4.1999999999999997E-3</v>
      </c>
      <c r="H14" s="4">
        <v>572</v>
      </c>
      <c r="I14" s="11">
        <v>5494</v>
      </c>
      <c r="J14" s="4">
        <v>16.809999999999999</v>
      </c>
      <c r="K14">
        <f t="shared" si="2"/>
        <v>9.57</v>
      </c>
      <c r="L14">
        <f t="shared" si="3"/>
        <v>9.5839999999999996</v>
      </c>
      <c r="M14">
        <f t="shared" si="4"/>
        <v>57.142857142856961</v>
      </c>
      <c r="N14">
        <f t="shared" si="0"/>
        <v>59.620702419055775</v>
      </c>
      <c r="O14">
        <f t="shared" si="1"/>
        <v>50.301565527902589</v>
      </c>
      <c r="P14">
        <f t="shared" si="5"/>
        <v>0.10449320794148158</v>
      </c>
      <c r="Q14">
        <f t="shared" si="6"/>
        <v>-4.1736227045070531E-2</v>
      </c>
      <c r="R14">
        <f t="shared" si="7"/>
        <v>-1.9999999999999997E-2</v>
      </c>
      <c r="S14">
        <f t="shared" si="8"/>
        <v>9.0139516909326574</v>
      </c>
      <c r="T14">
        <f t="shared" si="9"/>
        <v>6.9869743106743414</v>
      </c>
      <c r="U14">
        <f t="shared" si="10"/>
        <v>2.026977380258316</v>
      </c>
      <c r="V14">
        <f t="shared" si="11"/>
        <v>2.3893451444219505</v>
      </c>
    </row>
    <row r="15" spans="1:22" x14ac:dyDescent="0.3">
      <c r="A15" s="9">
        <v>42891</v>
      </c>
      <c r="B15" s="4">
        <v>9.61</v>
      </c>
      <c r="C15" s="4">
        <v>9.6300000000000008</v>
      </c>
      <c r="D15" s="4">
        <v>9.57</v>
      </c>
      <c r="E15" s="4">
        <v>9.6199999999999992</v>
      </c>
      <c r="F15" s="4">
        <v>0.04</v>
      </c>
      <c r="G15" s="10">
        <v>4.1999999999999997E-3</v>
      </c>
      <c r="H15" s="4">
        <v>593</v>
      </c>
      <c r="I15" s="11">
        <v>5693</v>
      </c>
      <c r="J15" s="4">
        <v>16.88</v>
      </c>
      <c r="K15">
        <f t="shared" si="2"/>
        <v>9.5619999999999994</v>
      </c>
      <c r="L15">
        <f t="shared" si="3"/>
        <v>9.5860000000000021</v>
      </c>
      <c r="M15">
        <f t="shared" si="4"/>
        <v>85.714285714284813</v>
      </c>
      <c r="N15">
        <f t="shared" si="0"/>
        <v>46.573910771441263</v>
      </c>
      <c r="O15">
        <f t="shared" si="1"/>
        <v>45.641997082325993</v>
      </c>
      <c r="P15">
        <f t="shared" si="5"/>
        <v>0.60656766366868675</v>
      </c>
      <c r="Q15">
        <f t="shared" si="6"/>
        <v>0.35468391404128036</v>
      </c>
      <c r="R15">
        <f t="shared" si="7"/>
        <v>7.0000000000000007E-2</v>
      </c>
      <c r="S15">
        <f t="shared" si="8"/>
        <v>8.9110338165567775</v>
      </c>
      <c r="T15">
        <f t="shared" si="9"/>
        <v>6.7795322555282889</v>
      </c>
      <c r="U15">
        <f t="shared" si="10"/>
        <v>2.1315015610284886</v>
      </c>
      <c r="V15">
        <f t="shared" si="11"/>
        <v>2.4585061244607038</v>
      </c>
    </row>
    <row r="16" spans="1:22" x14ac:dyDescent="0.3">
      <c r="A16" s="9">
        <v>42889</v>
      </c>
      <c r="B16" s="4">
        <v>9.58</v>
      </c>
      <c r="C16" s="4">
        <v>9.64</v>
      </c>
      <c r="D16" s="4">
        <v>9.5500000000000007</v>
      </c>
      <c r="E16" s="4">
        <v>9.58</v>
      </c>
      <c r="F16" s="4">
        <v>0.04</v>
      </c>
      <c r="G16" s="10">
        <v>4.1999999999999997E-3</v>
      </c>
      <c r="H16" s="4">
        <v>571</v>
      </c>
      <c r="I16" s="11">
        <v>5457</v>
      </c>
      <c r="J16" s="4">
        <v>16.809999999999999</v>
      </c>
      <c r="K16">
        <f t="shared" si="2"/>
        <v>9.5579999999999998</v>
      </c>
      <c r="L16">
        <f t="shared" si="3"/>
        <v>9.586999999999998</v>
      </c>
      <c r="M16">
        <f t="shared" si="4"/>
        <v>57.142857142856961</v>
      </c>
      <c r="N16">
        <f t="shared" si="0"/>
        <v>41.28943758573341</v>
      </c>
      <c r="O16">
        <f t="shared" si="1"/>
        <v>45.176040237768355</v>
      </c>
      <c r="P16">
        <f t="shared" si="5"/>
        <v>0.23017367650136267</v>
      </c>
      <c r="Q16">
        <f t="shared" si="6"/>
        <v>-7.3015541879606738E-2</v>
      </c>
      <c r="R16">
        <f t="shared" si="7"/>
        <v>0.05</v>
      </c>
      <c r="S16">
        <f t="shared" si="8"/>
        <v>8.7821308741125552</v>
      </c>
      <c r="T16">
        <f t="shared" si="9"/>
        <v>6.5522948359705522</v>
      </c>
      <c r="U16">
        <f t="shared" si="10"/>
        <v>2.229836038142003</v>
      </c>
      <c r="V16">
        <f t="shared" si="11"/>
        <v>2.5115862519200318</v>
      </c>
    </row>
    <row r="17" spans="1:22" x14ac:dyDescent="0.3">
      <c r="A17" s="9">
        <v>42888</v>
      </c>
      <c r="B17" s="4">
        <v>9.5299999999999994</v>
      </c>
      <c r="C17" s="4">
        <v>9.59</v>
      </c>
      <c r="D17" s="4">
        <v>9.52</v>
      </c>
      <c r="E17" s="4">
        <v>9.5399999999999991</v>
      </c>
      <c r="F17" s="4">
        <v>0.01</v>
      </c>
      <c r="G17" s="10">
        <v>1E-3</v>
      </c>
      <c r="H17" s="4">
        <v>200</v>
      </c>
      <c r="I17" s="11">
        <v>1905</v>
      </c>
      <c r="J17" s="4">
        <v>16.739999999999998</v>
      </c>
      <c r="K17">
        <f t="shared" si="2"/>
        <v>9.5620000000000012</v>
      </c>
      <c r="L17">
        <f t="shared" si="3"/>
        <v>9.5909999999999975</v>
      </c>
      <c r="M17">
        <f t="shared" si="4"/>
        <v>39.999999999999289</v>
      </c>
      <c r="N17">
        <f t="shared" si="0"/>
        <v>41.93415637860047</v>
      </c>
      <c r="O17">
        <f t="shared" si="1"/>
        <v>47.119341563785831</v>
      </c>
      <c r="P17">
        <f t="shared" si="5"/>
        <v>-0.23007738966745467</v>
      </c>
      <c r="Q17">
        <f t="shared" si="6"/>
        <v>-0.53174851423207592</v>
      </c>
      <c r="R17">
        <f t="shared" si="7"/>
        <v>2.0000000000000004E-2</v>
      </c>
      <c r="S17">
        <f t="shared" si="8"/>
        <v>8.6370637603148381</v>
      </c>
      <c r="T17">
        <f t="shared" si="9"/>
        <v>6.3100784228481963</v>
      </c>
      <c r="U17">
        <f t="shared" si="10"/>
        <v>2.3269853374666418</v>
      </c>
      <c r="V17">
        <f t="shared" si="11"/>
        <v>2.5439349458896863</v>
      </c>
    </row>
    <row r="18" spans="1:22" x14ac:dyDescent="0.3">
      <c r="A18" s="9">
        <v>42887</v>
      </c>
      <c r="B18" s="4">
        <v>9.52</v>
      </c>
      <c r="C18" s="4">
        <v>9.57</v>
      </c>
      <c r="D18" s="4">
        <v>9.51</v>
      </c>
      <c r="E18" s="4">
        <v>9.5299999999999994</v>
      </c>
      <c r="F18" s="4">
        <v>-0.01</v>
      </c>
      <c r="G18" s="10">
        <v>-1E-3</v>
      </c>
      <c r="H18" s="4">
        <v>152</v>
      </c>
      <c r="I18" s="11">
        <v>1444</v>
      </c>
      <c r="J18" s="4">
        <v>16.72</v>
      </c>
      <c r="K18">
        <f t="shared" si="2"/>
        <v>9.5640000000000018</v>
      </c>
      <c r="L18">
        <f t="shared" si="3"/>
        <v>9.5965000000000007</v>
      </c>
      <c r="M18">
        <f t="shared" si="4"/>
        <v>29.999999999999467</v>
      </c>
      <c r="N18">
        <f t="shared" si="0"/>
        <v>47.901234567900971</v>
      </c>
      <c r="O18">
        <f t="shared" si="1"/>
        <v>49.711934156378511</v>
      </c>
      <c r="P18">
        <f t="shared" si="5"/>
        <v>-0.35549979088250172</v>
      </c>
      <c r="Q18">
        <f t="shared" si="6"/>
        <v>-0.6929609753556123</v>
      </c>
      <c r="R18">
        <f t="shared" si="7"/>
        <v>-1.999999999999999E-2</v>
      </c>
      <c r="S18">
        <f t="shared" si="8"/>
        <v>8.4728935349175352</v>
      </c>
      <c r="T18">
        <f t="shared" si="9"/>
        <v>6.0516846966760518</v>
      </c>
      <c r="U18">
        <f t="shared" si="10"/>
        <v>2.4212088382414834</v>
      </c>
      <c r="V18">
        <f t="shared" si="11"/>
        <v>2.5485603463737707</v>
      </c>
    </row>
    <row r="19" spans="1:22" x14ac:dyDescent="0.3">
      <c r="A19" s="9">
        <v>42886</v>
      </c>
      <c r="B19" s="4">
        <v>9.6</v>
      </c>
      <c r="C19" s="4">
        <v>9.6</v>
      </c>
      <c r="D19" s="4">
        <v>9.5399999999999991</v>
      </c>
      <c r="E19" s="4">
        <v>9.5399999999999991</v>
      </c>
      <c r="F19" s="4">
        <v>-0.06</v>
      </c>
      <c r="G19" s="10">
        <v>-6.3E-3</v>
      </c>
      <c r="H19" s="4">
        <v>51</v>
      </c>
      <c r="I19" s="4">
        <v>485</v>
      </c>
      <c r="J19" s="4">
        <v>16.739999999999998</v>
      </c>
      <c r="K19">
        <f t="shared" si="2"/>
        <v>9.5640000000000018</v>
      </c>
      <c r="L19">
        <f t="shared" si="3"/>
        <v>9.6064999999999987</v>
      </c>
      <c r="M19">
        <f t="shared" si="4"/>
        <v>39.999999999999289</v>
      </c>
      <c r="N19">
        <f>N20*2/3+M20/3</f>
        <v>51.851851851851819</v>
      </c>
      <c r="O19">
        <f>O20*2/3+N19/3</f>
        <v>50.617283950617278</v>
      </c>
      <c r="P19">
        <f t="shared" si="5"/>
        <v>-0.25094102885824637</v>
      </c>
      <c r="Q19">
        <f t="shared" si="6"/>
        <v>-0.69223962941757744</v>
      </c>
      <c r="R19">
        <f t="shared" si="7"/>
        <v>-1.9999999999999997E-2</v>
      </c>
      <c r="S19">
        <f t="shared" si="8"/>
        <v>8.2806923594479969</v>
      </c>
      <c r="T19">
        <f t="shared" si="9"/>
        <v>5.7734194724101364</v>
      </c>
      <c r="U19">
        <f t="shared" si="10"/>
        <v>2.5072728870378604</v>
      </c>
      <c r="V19">
        <f t="shared" si="11"/>
        <v>2.5171678080544844</v>
      </c>
    </row>
    <row r="20" spans="1:22" x14ac:dyDescent="0.3">
      <c r="A20" s="9">
        <v>42881</v>
      </c>
      <c r="B20" s="4">
        <v>9.58</v>
      </c>
      <c r="C20" s="4">
        <v>9.6</v>
      </c>
      <c r="D20" s="4">
        <v>9.5</v>
      </c>
      <c r="E20" s="4">
        <v>9.6</v>
      </c>
      <c r="F20" s="4">
        <v>0</v>
      </c>
      <c r="G20" s="10">
        <v>0</v>
      </c>
      <c r="H20" s="4">
        <v>533</v>
      </c>
      <c r="I20" s="11">
        <v>5107</v>
      </c>
      <c r="J20" s="4">
        <v>16.84</v>
      </c>
      <c r="K20">
        <f t="shared" si="2"/>
        <v>9.5599999999999987</v>
      </c>
      <c r="L20">
        <f t="shared" si="3"/>
        <v>9.6114999999999977</v>
      </c>
      <c r="M20">
        <f t="shared" si="4"/>
        <v>55.555555555555443</v>
      </c>
      <c r="N20">
        <v>50</v>
      </c>
      <c r="O20">
        <v>50</v>
      </c>
      <c r="P20">
        <f t="shared" si="5"/>
        <v>0.41841004184101388</v>
      </c>
      <c r="Q20">
        <f t="shared" si="6"/>
        <v>-0.11964833792850305</v>
      </c>
      <c r="R20">
        <f t="shared" si="7"/>
        <v>0.06</v>
      </c>
      <c r="S20">
        <f t="shared" si="8"/>
        <v>8.051727333893087</v>
      </c>
      <c r="T20">
        <f t="shared" si="9"/>
        <v>5.4720930302029469</v>
      </c>
      <c r="U20">
        <f t="shared" si="10"/>
        <v>2.5796343036901401</v>
      </c>
      <c r="V20">
        <f t="shared" si="11"/>
        <v>2.4403730324421269</v>
      </c>
    </row>
    <row r="21" spans="1:22" x14ac:dyDescent="0.3">
      <c r="A21" s="9">
        <v>42880</v>
      </c>
      <c r="B21" s="4">
        <v>9.5500000000000007</v>
      </c>
      <c r="C21" s="4">
        <v>9.6</v>
      </c>
      <c r="D21" s="4">
        <v>9.5299999999999994</v>
      </c>
      <c r="E21" s="4">
        <v>9.6</v>
      </c>
      <c r="F21" s="4">
        <v>0.05</v>
      </c>
      <c r="G21" s="10">
        <v>5.1999999999999998E-3</v>
      </c>
      <c r="H21" s="4">
        <v>88</v>
      </c>
      <c r="I21" s="4">
        <v>841</v>
      </c>
      <c r="J21" s="4">
        <v>16.84</v>
      </c>
      <c r="S21">
        <f t="shared" si="8"/>
        <v>7.7702232127827395</v>
      </c>
      <c r="T21">
        <f t="shared" si="9"/>
        <v>5.1418604726191823</v>
      </c>
      <c r="U21">
        <f t="shared" si="10"/>
        <v>2.6283627401635572</v>
      </c>
      <c r="V21">
        <f t="shared" si="11"/>
        <v>2.306406113117943</v>
      </c>
    </row>
    <row r="22" spans="1:22" x14ac:dyDescent="0.3">
      <c r="A22" s="9">
        <v>42879</v>
      </c>
      <c r="B22" s="4">
        <v>9.5500000000000007</v>
      </c>
      <c r="C22" s="4">
        <v>9.58</v>
      </c>
      <c r="D22" s="4">
        <v>9.51</v>
      </c>
      <c r="E22" s="4">
        <v>9.5500000000000007</v>
      </c>
      <c r="F22" s="4">
        <v>0.02</v>
      </c>
      <c r="G22" s="10">
        <v>2.0999999999999999E-3</v>
      </c>
      <c r="H22" s="4">
        <v>88</v>
      </c>
      <c r="I22" s="4">
        <v>837</v>
      </c>
      <c r="J22" s="4">
        <v>16.75</v>
      </c>
      <c r="S22">
        <f t="shared" si="8"/>
        <v>7.4375365241977835</v>
      </c>
      <c r="T22">
        <f t="shared" si="9"/>
        <v>4.7852093104287166</v>
      </c>
      <c r="U22">
        <f t="shared" si="10"/>
        <v>2.652327213769067</v>
      </c>
      <c r="V22">
        <f t="shared" si="11"/>
        <v>2.100962833030128</v>
      </c>
    </row>
    <row r="23" spans="1:22" x14ac:dyDescent="0.3">
      <c r="A23" s="9">
        <v>42878</v>
      </c>
      <c r="B23" s="4">
        <v>9.52</v>
      </c>
      <c r="C23" s="4">
        <v>9.5299999999999994</v>
      </c>
      <c r="D23" s="4">
        <v>9.51</v>
      </c>
      <c r="E23" s="4">
        <v>9.5299999999999994</v>
      </c>
      <c r="F23" s="4">
        <v>0.01</v>
      </c>
      <c r="G23" s="10">
        <v>1.1000000000000001E-3</v>
      </c>
      <c r="H23" s="4">
        <v>115</v>
      </c>
      <c r="I23" s="11">
        <v>1091</v>
      </c>
      <c r="J23" s="4">
        <v>16.72</v>
      </c>
      <c r="S23">
        <f t="shared" si="8"/>
        <v>7.0534522558701083</v>
      </c>
      <c r="T23">
        <f t="shared" si="9"/>
        <v>4.4040260552630137</v>
      </c>
      <c r="U23">
        <f t="shared" si="10"/>
        <v>2.6494262006070946</v>
      </c>
      <c r="V23">
        <f t="shared" si="11"/>
        <v>2.0320422854377607</v>
      </c>
    </row>
    <row r="24" spans="1:22" x14ac:dyDescent="0.3">
      <c r="A24" s="9">
        <v>42877</v>
      </c>
      <c r="B24" s="4">
        <v>9.5299999999999994</v>
      </c>
      <c r="C24" s="4">
        <v>9.56</v>
      </c>
      <c r="D24" s="4">
        <v>9.51</v>
      </c>
      <c r="E24" s="4">
        <v>9.52</v>
      </c>
      <c r="F24" s="4">
        <v>-0.03</v>
      </c>
      <c r="G24" s="10">
        <v>-3.0999999999999999E-3</v>
      </c>
      <c r="H24" s="4">
        <v>104</v>
      </c>
      <c r="I24" s="4">
        <v>991</v>
      </c>
      <c r="J24" s="4">
        <v>16.7</v>
      </c>
      <c r="S24">
        <f t="shared" si="8"/>
        <v>6.6031708478464921</v>
      </c>
      <c r="T24">
        <f t="shared" si="9"/>
        <v>3.9939481396840555</v>
      </c>
      <c r="U24">
        <f t="shared" si="10"/>
        <v>2.6092227081624366</v>
      </c>
      <c r="V24">
        <f t="shared" si="11"/>
        <v>1.9438445832707123</v>
      </c>
    </row>
    <row r="25" spans="1:22" x14ac:dyDescent="0.3">
      <c r="A25" s="9">
        <v>42874</v>
      </c>
      <c r="B25" s="4">
        <v>9.5399999999999991</v>
      </c>
      <c r="C25" s="4">
        <v>9.6</v>
      </c>
      <c r="D25" s="4">
        <v>9.51</v>
      </c>
      <c r="E25" s="4">
        <v>9.5500000000000007</v>
      </c>
      <c r="F25" s="4">
        <v>-0.01</v>
      </c>
      <c r="G25" s="10">
        <v>-1E-3</v>
      </c>
      <c r="H25" s="4">
        <v>65</v>
      </c>
      <c r="I25" s="4">
        <v>621</v>
      </c>
      <c r="J25" s="4">
        <v>16.75</v>
      </c>
      <c r="S25">
        <f t="shared" si="8"/>
        <v>6.0728382747276717</v>
      </c>
      <c r="T25">
        <f t="shared" si="9"/>
        <v>3.5518639908587799</v>
      </c>
      <c r="U25">
        <f t="shared" si="10"/>
        <v>2.5209742838688918</v>
      </c>
      <c r="V25">
        <f t="shared" si="11"/>
        <v>1.832948229122092</v>
      </c>
    </row>
    <row r="26" spans="1:22" x14ac:dyDescent="0.3">
      <c r="A26" s="9">
        <v>42873</v>
      </c>
      <c r="B26" s="4">
        <v>9.5399999999999991</v>
      </c>
      <c r="C26" s="4">
        <v>9.59</v>
      </c>
      <c r="D26" s="4">
        <v>9.5299999999999994</v>
      </c>
      <c r="E26" s="4">
        <v>9.56</v>
      </c>
      <c r="F26" s="4">
        <v>0.02</v>
      </c>
      <c r="G26" s="10">
        <v>2.0999999999999999E-3</v>
      </c>
      <c r="H26" s="4">
        <v>174</v>
      </c>
      <c r="I26" s="11">
        <v>1660</v>
      </c>
      <c r="J26" s="4">
        <v>16.77</v>
      </c>
      <c r="S26">
        <f t="shared" si="8"/>
        <v>5.4406270519508846</v>
      </c>
      <c r="T26">
        <f t="shared" si="9"/>
        <v>3.0720131101274823</v>
      </c>
      <c r="U26">
        <f t="shared" si="10"/>
        <v>2.3686139418234022</v>
      </c>
      <c r="V26">
        <f t="shared" si="11"/>
        <v>1.6953430181727316</v>
      </c>
    </row>
    <row r="27" spans="1:22" x14ac:dyDescent="0.3">
      <c r="A27" s="9">
        <v>42872</v>
      </c>
      <c r="B27" s="4">
        <v>9.58</v>
      </c>
      <c r="C27" s="4">
        <v>9.58</v>
      </c>
      <c r="D27" s="4">
        <v>9.5299999999999994</v>
      </c>
      <c r="E27" s="4">
        <v>9.5399999999999991</v>
      </c>
      <c r="F27" s="4">
        <v>-0.04</v>
      </c>
      <c r="G27" s="10">
        <v>-4.1999999999999997E-3</v>
      </c>
      <c r="H27" s="4">
        <v>139</v>
      </c>
      <c r="I27" s="11">
        <v>1332</v>
      </c>
      <c r="J27" s="4">
        <v>16.739999999999998</v>
      </c>
      <c r="S27">
        <f t="shared" si="8"/>
        <v>4.6916501523055913</v>
      </c>
      <c r="T27">
        <f t="shared" si="9"/>
        <v>2.5529741589376806</v>
      </c>
      <c r="U27">
        <f t="shared" si="10"/>
        <v>2.1386759933679107</v>
      </c>
      <c r="V27">
        <f t="shared" si="11"/>
        <v>1.5270252872600643</v>
      </c>
    </row>
    <row r="28" spans="1:22" x14ac:dyDescent="0.3">
      <c r="A28" s="9">
        <v>42871</v>
      </c>
      <c r="B28" s="4">
        <v>9.68</v>
      </c>
      <c r="C28" s="4">
        <v>9.68</v>
      </c>
      <c r="D28" s="4">
        <v>9.58</v>
      </c>
      <c r="E28" s="4">
        <v>9.58</v>
      </c>
      <c r="F28" s="4">
        <v>-0.1</v>
      </c>
      <c r="G28" s="10">
        <v>-1.03E-2</v>
      </c>
      <c r="H28" s="4">
        <v>115</v>
      </c>
      <c r="I28" s="11">
        <v>1103</v>
      </c>
      <c r="J28" s="4">
        <v>16.809999999999999</v>
      </c>
      <c r="S28">
        <f t="shared" si="8"/>
        <v>3.8101319981793358</v>
      </c>
      <c r="T28">
        <f t="shared" si="9"/>
        <v>1.9940120916526951</v>
      </c>
      <c r="U28">
        <f t="shared" si="10"/>
        <v>1.8161199065266407</v>
      </c>
      <c r="V28">
        <f t="shared" si="11"/>
        <v>1.3231417185574488</v>
      </c>
    </row>
    <row r="29" spans="1:22" x14ac:dyDescent="0.3">
      <c r="A29" s="9">
        <v>42870</v>
      </c>
      <c r="B29" s="4">
        <v>9.74</v>
      </c>
      <c r="C29" s="4">
        <v>9.74</v>
      </c>
      <c r="D29" s="4">
        <v>9.6199999999999992</v>
      </c>
      <c r="E29" s="4">
        <v>9.68</v>
      </c>
      <c r="F29" s="4">
        <v>-0.09</v>
      </c>
      <c r="G29" s="10">
        <v>-9.1999999999999998E-3</v>
      </c>
      <c r="H29" s="4">
        <v>147</v>
      </c>
      <c r="I29" s="11">
        <v>1417</v>
      </c>
      <c r="J29" s="4">
        <v>12.41</v>
      </c>
      <c r="S29">
        <f t="shared" si="8"/>
        <v>2.7610650887573964</v>
      </c>
      <c r="T29">
        <f t="shared" si="9"/>
        <v>1.3871330589849107</v>
      </c>
      <c r="U29">
        <f t="shared" si="10"/>
        <v>1.3739320297724857</v>
      </c>
      <c r="V29">
        <f t="shared" si="11"/>
        <v>1.0766526245728527</v>
      </c>
    </row>
    <row r="30" spans="1:22" x14ac:dyDescent="0.3">
      <c r="A30" s="9">
        <v>42867</v>
      </c>
      <c r="B30" s="4">
        <v>9.6</v>
      </c>
      <c r="C30" s="4">
        <v>9.7899999999999991</v>
      </c>
      <c r="D30" s="4">
        <v>9.5</v>
      </c>
      <c r="E30" s="4">
        <v>9.77</v>
      </c>
      <c r="F30" s="4">
        <v>0.16</v>
      </c>
      <c r="G30" s="10">
        <v>1.66E-2</v>
      </c>
      <c r="H30" s="4">
        <v>155</v>
      </c>
      <c r="I30" s="11">
        <v>1497</v>
      </c>
      <c r="J30" s="4">
        <v>12.53</v>
      </c>
      <c r="S30">
        <f t="shared" si="8"/>
        <v>1.5030769230769232</v>
      </c>
      <c r="T30">
        <f t="shared" si="9"/>
        <v>0.72370370370370363</v>
      </c>
      <c r="U30">
        <f t="shared" si="10"/>
        <v>0.77937321937321957</v>
      </c>
      <c r="V30">
        <f t="shared" si="11"/>
        <v>0.77937321937321957</v>
      </c>
    </row>
    <row r="31" spans="1:22" x14ac:dyDescent="0.3">
      <c r="A31" s="9">
        <v>42866</v>
      </c>
      <c r="B31" s="4">
        <v>9.7200000000000006</v>
      </c>
      <c r="C31" s="4">
        <v>9.7200000000000006</v>
      </c>
      <c r="D31" s="4">
        <v>9.57</v>
      </c>
      <c r="E31" s="4">
        <v>9.61</v>
      </c>
      <c r="F31" s="4">
        <v>-0.02</v>
      </c>
      <c r="G31" s="10">
        <v>-2.0999999999999999E-3</v>
      </c>
      <c r="H31" s="4">
        <v>96</v>
      </c>
      <c r="I31" s="4">
        <v>922</v>
      </c>
      <c r="J31" s="4">
        <v>12.32</v>
      </c>
    </row>
    <row r="32" spans="1:22" x14ac:dyDescent="0.3">
      <c r="A32" s="9">
        <v>42865</v>
      </c>
      <c r="B32" s="4">
        <v>9.5500000000000007</v>
      </c>
      <c r="C32" s="4">
        <v>9.6300000000000008</v>
      </c>
      <c r="D32" s="4">
        <v>9.5500000000000007</v>
      </c>
      <c r="E32" s="4">
        <v>9.6300000000000008</v>
      </c>
      <c r="F32" s="4">
        <v>0.06</v>
      </c>
      <c r="G32" s="10">
        <v>6.3E-3</v>
      </c>
      <c r="H32" s="4">
        <v>162</v>
      </c>
      <c r="I32" s="11">
        <v>1552</v>
      </c>
      <c r="J32" s="4">
        <v>12.35</v>
      </c>
    </row>
    <row r="33" spans="1:10" x14ac:dyDescent="0.3">
      <c r="A33" s="9">
        <v>42864</v>
      </c>
      <c r="B33" s="4">
        <v>9.6199999999999992</v>
      </c>
      <c r="C33" s="4">
        <v>9.69</v>
      </c>
      <c r="D33" s="4">
        <v>9.57</v>
      </c>
      <c r="E33" s="4">
        <v>9.57</v>
      </c>
      <c r="F33" s="4">
        <v>-0.05</v>
      </c>
      <c r="G33" s="10">
        <v>-5.1999999999999998E-3</v>
      </c>
      <c r="H33" s="4">
        <v>318</v>
      </c>
      <c r="I33" s="11">
        <v>3054</v>
      </c>
      <c r="J33" s="4">
        <v>12.27</v>
      </c>
    </row>
    <row r="34" spans="1:10" x14ac:dyDescent="0.3">
      <c r="A34" s="9">
        <v>42863</v>
      </c>
      <c r="B34" s="4">
        <v>9.64</v>
      </c>
      <c r="C34" s="4">
        <v>9.64</v>
      </c>
      <c r="D34" s="4">
        <v>9.6</v>
      </c>
      <c r="E34" s="4">
        <v>9.6199999999999992</v>
      </c>
      <c r="F34" s="4">
        <v>-0.02</v>
      </c>
      <c r="G34" s="10">
        <v>-2.0999999999999999E-3</v>
      </c>
      <c r="H34" s="4">
        <v>88</v>
      </c>
      <c r="I34" s="4">
        <v>846</v>
      </c>
      <c r="J34" s="4">
        <v>12.33</v>
      </c>
    </row>
    <row r="35" spans="1:10" x14ac:dyDescent="0.3">
      <c r="A35" s="9">
        <v>42860</v>
      </c>
      <c r="B35" s="4">
        <v>9.66</v>
      </c>
      <c r="C35" s="4">
        <v>9.67</v>
      </c>
      <c r="D35" s="4">
        <v>9.6199999999999992</v>
      </c>
      <c r="E35" s="4">
        <v>9.64</v>
      </c>
      <c r="F35" s="4">
        <v>-0.02</v>
      </c>
      <c r="G35" s="10">
        <v>-2.0999999999999999E-3</v>
      </c>
      <c r="H35" s="4">
        <v>71</v>
      </c>
      <c r="I35" s="4">
        <v>685</v>
      </c>
      <c r="J35" s="4">
        <v>12.36</v>
      </c>
    </row>
    <row r="36" spans="1:10" x14ac:dyDescent="0.3">
      <c r="A36" s="9">
        <v>42859</v>
      </c>
      <c r="B36" s="4">
        <v>9.65</v>
      </c>
      <c r="C36" s="4">
        <v>9.6999999999999993</v>
      </c>
      <c r="D36" s="4">
        <v>9.6199999999999992</v>
      </c>
      <c r="E36" s="4">
        <v>9.66</v>
      </c>
      <c r="F36" s="4">
        <v>0.01</v>
      </c>
      <c r="G36" s="10">
        <v>1E-3</v>
      </c>
      <c r="H36" s="4">
        <v>155</v>
      </c>
      <c r="I36" s="11">
        <v>1498</v>
      </c>
      <c r="J36" s="4">
        <v>12.38</v>
      </c>
    </row>
    <row r="37" spans="1:10" x14ac:dyDescent="0.3">
      <c r="A37" s="9">
        <v>42858</v>
      </c>
      <c r="B37" s="4">
        <v>9.74</v>
      </c>
      <c r="C37" s="4">
        <v>9.74</v>
      </c>
      <c r="D37" s="4">
        <v>9.6300000000000008</v>
      </c>
      <c r="E37" s="4">
        <v>9.65</v>
      </c>
      <c r="F37" s="4">
        <v>-0.08</v>
      </c>
      <c r="G37" s="10">
        <v>-8.2000000000000007E-3</v>
      </c>
      <c r="H37" s="4">
        <v>190</v>
      </c>
      <c r="I37" s="11">
        <v>1834</v>
      </c>
      <c r="J37" s="4">
        <v>12.37</v>
      </c>
    </row>
    <row r="38" spans="1:10" x14ac:dyDescent="0.3">
      <c r="A38" s="9">
        <v>42857</v>
      </c>
      <c r="B38" s="4">
        <v>9.6999999999999993</v>
      </c>
      <c r="C38" s="4">
        <v>9.74</v>
      </c>
      <c r="D38" s="4">
        <v>9.6300000000000008</v>
      </c>
      <c r="E38" s="4">
        <v>9.73</v>
      </c>
      <c r="F38" s="4">
        <v>0.09</v>
      </c>
      <c r="G38" s="10">
        <v>9.2999999999999992E-3</v>
      </c>
      <c r="H38" s="4">
        <v>89</v>
      </c>
      <c r="I38" s="4">
        <v>861</v>
      </c>
      <c r="J38" s="4">
        <v>12.47</v>
      </c>
    </row>
    <row r="39" spans="1:10" x14ac:dyDescent="0.3">
      <c r="A39" s="9">
        <v>42853</v>
      </c>
      <c r="B39" s="4">
        <v>9.73</v>
      </c>
      <c r="C39" s="4">
        <v>9.73</v>
      </c>
      <c r="D39" s="4">
        <v>9.64</v>
      </c>
      <c r="E39" s="4">
        <v>9.64</v>
      </c>
      <c r="F39" s="4">
        <v>-0.05</v>
      </c>
      <c r="G39" s="10">
        <v>-5.1999999999999998E-3</v>
      </c>
      <c r="H39" s="4">
        <v>199</v>
      </c>
      <c r="I39" s="11">
        <v>1925</v>
      </c>
      <c r="J39" s="4">
        <v>12.36</v>
      </c>
    </row>
    <row r="40" spans="1:10" x14ac:dyDescent="0.3">
      <c r="A40" s="9">
        <v>42852</v>
      </c>
      <c r="B40" s="4">
        <v>9.73</v>
      </c>
      <c r="C40" s="4">
        <v>9.73</v>
      </c>
      <c r="D40" s="4">
        <v>9.67</v>
      </c>
      <c r="E40" s="4">
        <v>9.69</v>
      </c>
      <c r="F40" s="4">
        <v>-0.04</v>
      </c>
      <c r="G40" s="10">
        <v>-4.1000000000000003E-3</v>
      </c>
      <c r="H40" s="4">
        <v>184</v>
      </c>
      <c r="I40" s="11">
        <v>1783</v>
      </c>
      <c r="J40" s="4">
        <v>12.42</v>
      </c>
    </row>
    <row r="41" spans="1:10" x14ac:dyDescent="0.3">
      <c r="A41" s="9">
        <v>42851</v>
      </c>
      <c r="B41" s="4">
        <v>9.67</v>
      </c>
      <c r="C41" s="4">
        <v>9.75</v>
      </c>
      <c r="D41" s="4">
        <v>9.65</v>
      </c>
      <c r="E41" s="4">
        <v>9.73</v>
      </c>
      <c r="F41" s="4">
        <v>0.08</v>
      </c>
      <c r="G41" s="10">
        <v>8.3000000000000001E-3</v>
      </c>
      <c r="H41" s="4">
        <v>61</v>
      </c>
      <c r="I41" s="4">
        <v>587</v>
      </c>
      <c r="J41" s="4">
        <v>12.47</v>
      </c>
    </row>
    <row r="42" spans="1:10" x14ac:dyDescent="0.3">
      <c r="A42" s="9">
        <v>42850</v>
      </c>
      <c r="B42" s="4">
        <v>9.65</v>
      </c>
      <c r="C42" s="4">
        <v>9.6999999999999993</v>
      </c>
      <c r="D42" s="4">
        <v>9.64</v>
      </c>
      <c r="E42" s="4">
        <v>9.65</v>
      </c>
      <c r="F42" s="4">
        <v>0.02</v>
      </c>
      <c r="G42" s="10">
        <v>2.0999999999999999E-3</v>
      </c>
      <c r="H42" s="4">
        <v>173</v>
      </c>
      <c r="I42" s="11">
        <v>1669</v>
      </c>
      <c r="J42" s="4">
        <v>12.37</v>
      </c>
    </row>
    <row r="43" spans="1:10" x14ac:dyDescent="0.3">
      <c r="A43" s="9">
        <v>42849</v>
      </c>
      <c r="B43" s="4">
        <v>9.65</v>
      </c>
      <c r="C43" s="4">
        <v>9.6999999999999993</v>
      </c>
      <c r="D43" s="4">
        <v>9.6300000000000008</v>
      </c>
      <c r="E43" s="4">
        <v>9.6300000000000008</v>
      </c>
      <c r="F43" s="4">
        <v>0.01</v>
      </c>
      <c r="G43" s="10">
        <v>1E-3</v>
      </c>
      <c r="H43" s="4">
        <v>175</v>
      </c>
      <c r="I43" s="11">
        <v>1688</v>
      </c>
      <c r="J43" s="4">
        <v>12.35</v>
      </c>
    </row>
    <row r="44" spans="1:10" x14ac:dyDescent="0.3">
      <c r="A44" s="9">
        <v>42846</v>
      </c>
      <c r="B44" s="4">
        <v>9.65</v>
      </c>
      <c r="C44" s="4">
        <v>9.66</v>
      </c>
      <c r="D44" s="4">
        <v>9.6199999999999992</v>
      </c>
      <c r="E44" s="4">
        <v>9.6199999999999992</v>
      </c>
      <c r="F44" s="4">
        <v>-0.01</v>
      </c>
      <c r="G44" s="10">
        <v>-1E-3</v>
      </c>
      <c r="H44" s="4">
        <v>385</v>
      </c>
      <c r="I44" s="11">
        <v>3712</v>
      </c>
      <c r="J44" s="4">
        <v>12.33</v>
      </c>
    </row>
    <row r="45" spans="1:10" x14ac:dyDescent="0.3">
      <c r="A45" s="9">
        <v>42845</v>
      </c>
      <c r="B45" s="4">
        <v>9.6</v>
      </c>
      <c r="C45" s="4">
        <v>9.66</v>
      </c>
      <c r="D45" s="4">
        <v>9.6</v>
      </c>
      <c r="E45" s="4">
        <v>9.6300000000000008</v>
      </c>
      <c r="F45" s="4">
        <v>0.02</v>
      </c>
      <c r="G45" s="10">
        <v>2.0999999999999999E-3</v>
      </c>
      <c r="H45" s="4">
        <v>283</v>
      </c>
      <c r="I45" s="11">
        <v>2724</v>
      </c>
      <c r="J45" s="4">
        <v>12.35</v>
      </c>
    </row>
    <row r="46" spans="1:10" x14ac:dyDescent="0.3">
      <c r="A46" s="9">
        <v>42844</v>
      </c>
      <c r="B46" s="4">
        <v>9.7100000000000009</v>
      </c>
      <c r="C46" s="4">
        <v>9.7100000000000009</v>
      </c>
      <c r="D46" s="4">
        <v>9.59</v>
      </c>
      <c r="E46" s="4">
        <v>9.61</v>
      </c>
      <c r="F46" s="4">
        <v>-0.11</v>
      </c>
      <c r="G46" s="10">
        <v>-1.1299999999999999E-2</v>
      </c>
      <c r="H46" s="4">
        <v>386</v>
      </c>
      <c r="I46" s="11">
        <v>3717</v>
      </c>
      <c r="J46" s="4">
        <v>12.32</v>
      </c>
    </row>
    <row r="47" spans="1:10" x14ac:dyDescent="0.3">
      <c r="A47" s="9">
        <v>42843</v>
      </c>
      <c r="B47" s="4">
        <v>9.7100000000000009</v>
      </c>
      <c r="C47" s="4">
        <v>9.7799999999999994</v>
      </c>
      <c r="D47" s="4">
        <v>9.6999999999999993</v>
      </c>
      <c r="E47" s="4">
        <v>9.7200000000000006</v>
      </c>
      <c r="F47" s="4">
        <v>0.01</v>
      </c>
      <c r="G47" s="10">
        <v>1E-3</v>
      </c>
      <c r="H47" s="4">
        <v>102</v>
      </c>
      <c r="I47" s="4">
        <v>991</v>
      </c>
      <c r="J47" s="4">
        <v>12.46</v>
      </c>
    </row>
    <row r="48" spans="1:10" x14ac:dyDescent="0.3">
      <c r="A48" s="9">
        <v>42842</v>
      </c>
      <c r="B48" s="4">
        <v>9.75</v>
      </c>
      <c r="C48" s="4">
        <v>9.75</v>
      </c>
      <c r="D48" s="4">
        <v>9.67</v>
      </c>
      <c r="E48" s="4">
        <v>9.7100000000000009</v>
      </c>
      <c r="F48" s="4">
        <v>-0.04</v>
      </c>
      <c r="G48" s="10">
        <v>-4.1000000000000003E-3</v>
      </c>
      <c r="H48" s="4">
        <v>118</v>
      </c>
      <c r="I48" s="11">
        <v>1145</v>
      </c>
      <c r="J48" s="4">
        <v>12.45</v>
      </c>
    </row>
    <row r="49" spans="1:10" x14ac:dyDescent="0.3">
      <c r="A49" s="9">
        <v>42839</v>
      </c>
      <c r="B49" s="4">
        <v>9.83</v>
      </c>
      <c r="C49" s="4">
        <v>9.85</v>
      </c>
      <c r="D49" s="4">
        <v>9.7100000000000009</v>
      </c>
      <c r="E49" s="4">
        <v>9.75</v>
      </c>
      <c r="F49" s="4">
        <v>-0.08</v>
      </c>
      <c r="G49" s="10">
        <v>-8.0999999999999996E-3</v>
      </c>
      <c r="H49" s="4">
        <v>339</v>
      </c>
      <c r="I49" s="11">
        <v>3316</v>
      </c>
      <c r="J49" s="4">
        <v>12.5</v>
      </c>
    </row>
    <row r="50" spans="1:10" x14ac:dyDescent="0.3">
      <c r="A50" s="9">
        <v>42838</v>
      </c>
      <c r="B50" s="4">
        <v>9.82</v>
      </c>
      <c r="C50" s="4">
        <v>9.83</v>
      </c>
      <c r="D50" s="4">
        <v>9.81</v>
      </c>
      <c r="E50" s="4">
        <v>9.83</v>
      </c>
      <c r="F50" s="4">
        <v>0.01</v>
      </c>
      <c r="G50" s="10">
        <v>1E-3</v>
      </c>
      <c r="H50" s="4">
        <v>162</v>
      </c>
      <c r="I50" s="11">
        <v>1588</v>
      </c>
      <c r="J50" s="4">
        <v>12.6</v>
      </c>
    </row>
    <row r="51" spans="1:10" x14ac:dyDescent="0.3">
      <c r="A51" s="9">
        <v>42837</v>
      </c>
      <c r="B51" s="4">
        <v>9.85</v>
      </c>
      <c r="C51" s="4">
        <v>9.89</v>
      </c>
      <c r="D51" s="4">
        <v>9.77</v>
      </c>
      <c r="E51" s="4">
        <v>9.82</v>
      </c>
      <c r="F51" s="4">
        <v>-0.08</v>
      </c>
      <c r="G51" s="10">
        <v>-8.0999999999999996E-3</v>
      </c>
      <c r="H51" s="4">
        <v>258</v>
      </c>
      <c r="I51" s="11">
        <v>2529</v>
      </c>
      <c r="J51" s="4">
        <v>12.59</v>
      </c>
    </row>
    <row r="52" spans="1:10" x14ac:dyDescent="0.3">
      <c r="A52" s="9">
        <v>42836</v>
      </c>
      <c r="B52" s="4">
        <v>9.92</v>
      </c>
      <c r="C52" s="4">
        <v>9.94</v>
      </c>
      <c r="D52" s="4">
        <v>9.89</v>
      </c>
      <c r="E52" s="4">
        <v>9.9</v>
      </c>
      <c r="F52" s="4">
        <v>-0.04</v>
      </c>
      <c r="G52" s="10">
        <v>-4.0000000000000001E-3</v>
      </c>
      <c r="H52" s="4">
        <v>293</v>
      </c>
      <c r="I52" s="11">
        <v>2902</v>
      </c>
      <c r="J52" s="4">
        <v>12.69</v>
      </c>
    </row>
    <row r="53" spans="1:10" x14ac:dyDescent="0.3">
      <c r="A53" s="9">
        <v>42835</v>
      </c>
      <c r="B53" s="4">
        <v>10.050000000000001</v>
      </c>
      <c r="C53" s="4">
        <v>10.050000000000001</v>
      </c>
      <c r="D53" s="4">
        <v>9.93</v>
      </c>
      <c r="E53" s="4">
        <v>9.94</v>
      </c>
      <c r="F53" s="4">
        <v>-0.06</v>
      </c>
      <c r="G53" s="10">
        <v>-6.0000000000000001E-3</v>
      </c>
      <c r="H53" s="4">
        <v>377</v>
      </c>
      <c r="I53" s="11">
        <v>3757</v>
      </c>
      <c r="J53" s="4">
        <v>12.74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8</xdr:col>
                    <xdr:colOff>213360</xdr:colOff>
                    <xdr:row>0</xdr:row>
                    <xdr:rowOff>83820</xdr:rowOff>
                  </from>
                  <to>
                    <xdr:col>13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">
                <anchor moveWithCells="1" sizeWithCells="1">
                  <from>
                    <xdr:col>8</xdr:col>
                    <xdr:colOff>251460</xdr:colOff>
                    <xdr:row>4</xdr:row>
                    <xdr:rowOff>91440</xdr:rowOff>
                  </from>
                  <to>
                    <xdr:col>13</xdr:col>
                    <xdr:colOff>30480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">
                <anchor moveWithCells="1" sizeWithCells="1">
                  <from>
                    <xdr:col>3</xdr:col>
                    <xdr:colOff>7620</xdr:colOff>
                    <xdr:row>0</xdr:row>
                    <xdr:rowOff>144780</xdr:rowOff>
                  </from>
                  <to>
                    <xdr:col>7</xdr:col>
                    <xdr:colOff>358140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技術分析">
                <anchor moveWithCells="1" sizeWithCells="1">
                  <from>
                    <xdr:col>3</xdr:col>
                    <xdr:colOff>15240</xdr:colOff>
                    <xdr:row>3</xdr:row>
                    <xdr:rowOff>160020</xdr:rowOff>
                  </from>
                  <to>
                    <xdr:col>7</xdr:col>
                    <xdr:colOff>335280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__rX_"/>
  <dimension ref="A1:B44"/>
  <sheetViews>
    <sheetView workbookViewId="0">
      <selection activeCell="T18" sqref="T18"/>
    </sheetView>
  </sheetViews>
  <sheetFormatPr defaultRowHeight="14.4" x14ac:dyDescent="0.3"/>
  <sheetData>
    <row r="1" spans="1:2" x14ac:dyDescent="0.3">
      <c r="A1" t="s">
        <v>86</v>
      </c>
      <c r="B1" t="s">
        <v>87</v>
      </c>
    </row>
    <row r="2" spans="1:2" x14ac:dyDescent="0.3">
      <c r="A2" t="s">
        <v>0</v>
      </c>
      <c r="B2" s="1" t="s">
        <v>2</v>
      </c>
    </row>
    <row r="3" spans="1:2" x14ac:dyDescent="0.3">
      <c r="A3" t="s">
        <v>1</v>
      </c>
      <c r="B3" s="1" t="s">
        <v>3</v>
      </c>
    </row>
    <row r="4" spans="1:2" x14ac:dyDescent="0.3">
      <c r="A4" t="s">
        <v>4</v>
      </c>
      <c r="B4" s="1" t="s">
        <v>5</v>
      </c>
    </row>
    <row r="5" spans="1:2" x14ac:dyDescent="0.3">
      <c r="A5" t="s">
        <v>6</v>
      </c>
      <c r="B5" s="1" t="s">
        <v>46</v>
      </c>
    </row>
    <row r="6" spans="1:2" ht="15" thickBot="1" x14ac:dyDescent="0.35">
      <c r="A6" t="s">
        <v>7</v>
      </c>
      <c r="B6" s="1" t="s">
        <v>47</v>
      </c>
    </row>
    <row r="7" spans="1:2" ht="15" thickBot="1" x14ac:dyDescent="0.35">
      <c r="A7" s="2" t="s">
        <v>8</v>
      </c>
      <c r="B7" s="1" t="s">
        <v>48</v>
      </c>
    </row>
    <row r="8" spans="1:2" ht="15" thickBot="1" x14ac:dyDescent="0.35">
      <c r="A8" s="3" t="s">
        <v>9</v>
      </c>
      <c r="B8" s="1" t="s">
        <v>49</v>
      </c>
    </row>
    <row r="9" spans="1:2" ht="15" thickBot="1" x14ac:dyDescent="0.35">
      <c r="A9" s="3" t="s">
        <v>10</v>
      </c>
      <c r="B9" s="1" t="s">
        <v>50</v>
      </c>
    </row>
    <row r="10" spans="1:2" ht="15" thickBot="1" x14ac:dyDescent="0.35">
      <c r="A10" s="3" t="s">
        <v>11</v>
      </c>
      <c r="B10" s="1" t="s">
        <v>51</v>
      </c>
    </row>
    <row r="11" spans="1:2" ht="15" thickBot="1" x14ac:dyDescent="0.35">
      <c r="A11" s="3" t="s">
        <v>12</v>
      </c>
      <c r="B11" s="1" t="s">
        <v>52</v>
      </c>
    </row>
    <row r="12" spans="1:2" ht="15" thickBot="1" x14ac:dyDescent="0.35">
      <c r="A12" s="3" t="s">
        <v>13</v>
      </c>
      <c r="B12" s="1" t="s">
        <v>53</v>
      </c>
    </row>
    <row r="13" spans="1:2" ht="15" thickBot="1" x14ac:dyDescent="0.35">
      <c r="A13" s="3" t="s">
        <v>14</v>
      </c>
      <c r="B13" s="1" t="s">
        <v>54</v>
      </c>
    </row>
    <row r="14" spans="1:2" ht="15" thickBot="1" x14ac:dyDescent="0.35">
      <c r="A14" s="3" t="s">
        <v>15</v>
      </c>
      <c r="B14" s="1" t="s">
        <v>55</v>
      </c>
    </row>
    <row r="15" spans="1:2" ht="15" thickBot="1" x14ac:dyDescent="0.35">
      <c r="A15" s="3" t="s">
        <v>16</v>
      </c>
      <c r="B15" s="1" t="s">
        <v>56</v>
      </c>
    </row>
    <row r="16" spans="1:2" ht="43.8" thickBot="1" x14ac:dyDescent="0.35">
      <c r="A16" s="3" t="s">
        <v>17</v>
      </c>
      <c r="B16" s="1" t="s">
        <v>57</v>
      </c>
    </row>
    <row r="17" spans="1:2" ht="15" thickBot="1" x14ac:dyDescent="0.35">
      <c r="A17" s="3" t="s">
        <v>18</v>
      </c>
      <c r="B17" s="1" t="s">
        <v>58</v>
      </c>
    </row>
    <row r="18" spans="1:2" ht="29.4" thickBot="1" x14ac:dyDescent="0.35">
      <c r="A18" s="3" t="s">
        <v>19</v>
      </c>
      <c r="B18" s="1" t="s">
        <v>59</v>
      </c>
    </row>
    <row r="19" spans="1:2" ht="29.4" thickBot="1" x14ac:dyDescent="0.35">
      <c r="A19" s="3" t="s">
        <v>20</v>
      </c>
      <c r="B19" s="1" t="s">
        <v>60</v>
      </c>
    </row>
    <row r="20" spans="1:2" ht="29.4" thickBot="1" x14ac:dyDescent="0.35">
      <c r="A20" s="3" t="s">
        <v>21</v>
      </c>
      <c r="B20" s="1" t="s">
        <v>61</v>
      </c>
    </row>
    <row r="21" spans="1:2" ht="29.4" thickBot="1" x14ac:dyDescent="0.35">
      <c r="A21" s="3" t="s">
        <v>22</v>
      </c>
      <c r="B21" s="1" t="s">
        <v>62</v>
      </c>
    </row>
    <row r="22" spans="1:2" ht="29.4" thickBot="1" x14ac:dyDescent="0.35">
      <c r="A22" s="3" t="s">
        <v>23</v>
      </c>
      <c r="B22" s="1" t="s">
        <v>63</v>
      </c>
    </row>
    <row r="23" spans="1:2" ht="15" thickBot="1" x14ac:dyDescent="0.35">
      <c r="A23" s="3" t="s">
        <v>24</v>
      </c>
      <c r="B23" s="1" t="s">
        <v>64</v>
      </c>
    </row>
    <row r="24" spans="1:2" ht="15" thickBot="1" x14ac:dyDescent="0.35">
      <c r="A24" s="3" t="s">
        <v>25</v>
      </c>
      <c r="B24" s="1" t="s">
        <v>65</v>
      </c>
    </row>
    <row r="25" spans="1:2" ht="15" thickBot="1" x14ac:dyDescent="0.35">
      <c r="A25" s="3" t="s">
        <v>26</v>
      </c>
      <c r="B25" s="1" t="s">
        <v>66</v>
      </c>
    </row>
    <row r="26" spans="1:2" ht="15" thickBot="1" x14ac:dyDescent="0.35">
      <c r="A26" s="3" t="s">
        <v>27</v>
      </c>
      <c r="B26" s="1" t="s">
        <v>67</v>
      </c>
    </row>
    <row r="27" spans="1:2" ht="15" thickBot="1" x14ac:dyDescent="0.35">
      <c r="A27" s="3" t="s">
        <v>28</v>
      </c>
      <c r="B27" s="1" t="s">
        <v>68</v>
      </c>
    </row>
    <row r="28" spans="1:2" ht="29.4" thickBot="1" x14ac:dyDescent="0.35">
      <c r="A28" s="3" t="s">
        <v>29</v>
      </c>
      <c r="B28" s="1" t="s">
        <v>69</v>
      </c>
    </row>
    <row r="29" spans="1:2" ht="29.4" thickBot="1" x14ac:dyDescent="0.35">
      <c r="A29" s="3" t="s">
        <v>30</v>
      </c>
      <c r="B29" s="1" t="s">
        <v>70</v>
      </c>
    </row>
    <row r="30" spans="1:2" ht="15" thickBot="1" x14ac:dyDescent="0.35">
      <c r="A30" s="3" t="s">
        <v>31</v>
      </c>
      <c r="B30" s="1" t="s">
        <v>71</v>
      </c>
    </row>
    <row r="31" spans="1:2" ht="15" thickBot="1" x14ac:dyDescent="0.35">
      <c r="A31" s="3" t="s">
        <v>32</v>
      </c>
      <c r="B31" s="1" t="s">
        <v>72</v>
      </c>
    </row>
    <row r="32" spans="1:2" ht="15" thickBot="1" x14ac:dyDescent="0.35">
      <c r="A32" s="3" t="s">
        <v>33</v>
      </c>
      <c r="B32" s="1" t="s">
        <v>73</v>
      </c>
    </row>
    <row r="33" spans="1:2" ht="15" thickBot="1" x14ac:dyDescent="0.35">
      <c r="A33" s="3" t="s">
        <v>34</v>
      </c>
      <c r="B33" s="1" t="s">
        <v>74</v>
      </c>
    </row>
    <row r="34" spans="1:2" ht="43.8" thickBot="1" x14ac:dyDescent="0.35">
      <c r="A34" s="3" t="s">
        <v>35</v>
      </c>
      <c r="B34" s="1" t="s">
        <v>75</v>
      </c>
    </row>
    <row r="35" spans="1:2" ht="43.8" thickBot="1" x14ac:dyDescent="0.35">
      <c r="A35" s="3" t="s">
        <v>36</v>
      </c>
      <c r="B35" s="1" t="s">
        <v>76</v>
      </c>
    </row>
    <row r="36" spans="1:2" ht="29.4" thickBot="1" x14ac:dyDescent="0.35">
      <c r="A36" s="3" t="s">
        <v>37</v>
      </c>
      <c r="B36" s="1" t="s">
        <v>77</v>
      </c>
    </row>
    <row r="37" spans="1:2" ht="43.8" thickBot="1" x14ac:dyDescent="0.35">
      <c r="A37" s="3" t="s">
        <v>38</v>
      </c>
      <c r="B37" s="1" t="s">
        <v>78</v>
      </c>
    </row>
    <row r="38" spans="1:2" ht="29.4" thickBot="1" x14ac:dyDescent="0.35">
      <c r="A38" s="3" t="s">
        <v>39</v>
      </c>
      <c r="B38" s="1" t="s">
        <v>79</v>
      </c>
    </row>
    <row r="39" spans="1:2" ht="43.8" thickBot="1" x14ac:dyDescent="0.35">
      <c r="A39" s="3" t="s">
        <v>40</v>
      </c>
      <c r="B39" s="1" t="s">
        <v>80</v>
      </c>
    </row>
    <row r="40" spans="1:2" ht="15" thickBot="1" x14ac:dyDescent="0.35">
      <c r="A40" s="3" t="s">
        <v>41</v>
      </c>
      <c r="B40" s="1" t="s">
        <v>81</v>
      </c>
    </row>
    <row r="41" spans="1:2" ht="29.4" thickBot="1" x14ac:dyDescent="0.35">
      <c r="A41" s="3" t="s">
        <v>42</v>
      </c>
      <c r="B41" s="1" t="s">
        <v>82</v>
      </c>
    </row>
    <row r="42" spans="1:2" ht="29.4" thickBot="1" x14ac:dyDescent="0.35">
      <c r="A42" s="3" t="s">
        <v>43</v>
      </c>
      <c r="B42" s="1" t="s">
        <v>83</v>
      </c>
    </row>
    <row r="43" spans="1:2" ht="29.4" thickBot="1" x14ac:dyDescent="0.35">
      <c r="A43" s="3" t="s">
        <v>44</v>
      </c>
      <c r="B43" s="1" t="s">
        <v>84</v>
      </c>
    </row>
    <row r="44" spans="1:2" ht="29.4" thickBot="1" x14ac:dyDescent="0.35">
      <c r="A44" s="3" t="s">
        <v>45</v>
      </c>
      <c r="B44" s="1" t="s">
        <v>85</v>
      </c>
    </row>
  </sheetData>
  <hyperlinks>
    <hyperlink ref="B3" r:id="rId1"/>
    <hyperlink ref="B2" r:id="rId2"/>
    <hyperlink ref="B4" r:id="rId3"/>
    <hyperlink ref="A7" r:id="rId4" display="https://www.cnyes.com/twstock/index2real.aspx?itype=TSE&amp;subcode=1600_1699&amp;stitle=%e9%9b%bb%e5%99%a8&amp;subtitle=8888F&amp;groupstr=06"/>
    <hyperlink ref="A8" r:id="rId5" display="https://www.cnyes.com/twstock/index2real.aspx?itype=TSE&amp;subcode=1700_1799&amp;stitle=%e5%8c%96%e5%ad%b8&amp;subtitle=8888G&amp;groupstr=21"/>
    <hyperlink ref="A9" r:id="rId6" display="https://www.cnyes.com/twstock/index2real.aspx?itype=TSE&amp;subcode=1700_1799&amp;stitle=%e7%94%9f%e6%8a%80&amp;subtitle=8888G&amp;groupstr=22"/>
    <hyperlink ref="A10" r:id="rId7" display="https://www.cnyes.com/twstock/index2real.aspx?itype=TSE&amp;subcode=1800_1899&amp;stitle=%e7%8e%bb%e7%92%83&amp;subtitle=8888H&amp;groupstr=08"/>
    <hyperlink ref="A11" r:id="rId8" display="https://www.cnyes.com/twstock/index2real.aspx?itype=TSE&amp;subcode=1900_1999&amp;stitle=%e9%80%a0%e7%b4%99&amp;subtitle=8888I&amp;groupstr=09"/>
    <hyperlink ref="A12" r:id="rId9" display="https://www.cnyes.com/twstock/index2real.aspx?itype=TSE&amp;subcode=2000_2099&amp;stitle=%e9%8b%bc%e9%90%b5&amp;subtitle=8888J&amp;groupstr=10"/>
    <hyperlink ref="A13" r:id="rId10" display="https://www.cnyes.com/twstock/index2real.aspx?itype=TSE&amp;subcode=2100_2199&amp;stitle=%e6%a9%a1%e8%86%a0&amp;subtitle=8888K&amp;groupstr=11"/>
    <hyperlink ref="A14" r:id="rId11" display="https://www.cnyes.com/twstock/index2real.aspx?itype=TSE&amp;subcode=2200_2299&amp;stitle=%e6%b1%bd%e8%bb%8a&amp;subtitle=8888L&amp;groupstr=12"/>
    <hyperlink ref="A15" r:id="rId12" display="https://www.cnyes.com/twstock/index2real.aspx?itype=TSE&amp;stitle=%e5%8d%8a%e5%b0%8e%e9%ab%94&amp;subtitle=8888M&amp;groupstr=24"/>
    <hyperlink ref="A16" r:id="rId13" display="https://www.cnyes.com/twstock/index2real.aspx?itype=TSE&amp;stitle=%e9%9b%bb%e8%85%a6%e5%8f%8a%e5%91%a8%e9%82%8a%e8%a8%ad%e5%82%99&amp;subtitle=8888M&amp;groupstr=25"/>
    <hyperlink ref="A17" r:id="rId14" display="https://www.cnyes.com/twstock/index2real.aspx?itype=TSE&amp;stitle=%e5%85%89%e9%9b%bb%e6%a5%ad&amp;subtitle=8888M&amp;groupstr=26"/>
    <hyperlink ref="A18" r:id="rId15" display="https://www.cnyes.com/twstock/index2real.aspx?itype=TSE&amp;stitle=%e9%80%9a%e4%bf%a1%e7%b6%b2%e8%b7%af%e6%a5%ad&amp;subtitle=8888M&amp;groupstr=27"/>
    <hyperlink ref="A19" r:id="rId16" display="https://www.cnyes.com/twstock/index2real.aspx?itype=TSE&amp;stitle=%e9%9b%bb%e5%ad%90%e9%9b%b6%e7%b5%84%e4%bb%b6%e6%a5%ad&amp;subtitle=8888M&amp;groupstr=28"/>
    <hyperlink ref="A20" r:id="rId17" display="https://www.cnyes.com/twstock/index2real.aspx?itype=TSE&amp;stitle=%e9%9b%bb%e5%ad%90%e9%80%9a%e8%b7%af%e6%a5%ad&amp;subtitle=8888M&amp;groupstr=29"/>
    <hyperlink ref="A21" r:id="rId18" display="https://www.cnyes.com/twstock/index2real.aspx?itype=TSE&amp;stitle=%e8%b3%87%e8%a8%8a%e6%9c%8d%e5%8b%99%e6%a5%ad&amp;subtitle=8888M&amp;groupstr=30"/>
    <hyperlink ref="A22" r:id="rId19" display="https://www.cnyes.com/twstock/index2real.aspx?itype=TSE&amp;stitle=%e5%85%b6%e4%bb%96%e9%9b%bb%e5%ad%90%e6%a5%ad&amp;subtitle=8888M&amp;groupstr=31"/>
    <hyperlink ref="A23" r:id="rId20" display="https://www.cnyes.com/twstock/index2real.aspx?itype=TSE&amp;subcode=2500_2599&amp;stitle=%e7%87%9f%e9%80%a0&amp;subtitle=8888N&amp;groupstr=14"/>
    <hyperlink ref="A24" r:id="rId21" display="https://www.cnyes.com/twstock/index2real.aspx?itype=TSE&amp;subcode=2600_2699&amp;stitle=%e9%81%8b%e8%bc%b8&amp;subtitle=8888O&amp;groupstr=15"/>
    <hyperlink ref="A25" r:id="rId22" display="https://www.cnyes.com/twstock/index2real.aspx?itype=TSE&amp;subcode=2700_2799&amp;stitle=%e8%a7%80%e5%85%89&amp;subtitle=8888P&amp;groupstr=16"/>
    <hyperlink ref="A26" r:id="rId23" display="https://www.cnyes.com/twstock/index2real.aspx?itype=TSE&amp;subcode=2800_2899&amp;stitle=%e9%87%91%e8%9e%8d&amp;subtitle=8888Q&amp;groupstr=17"/>
    <hyperlink ref="A27" r:id="rId24" display="https://www.cnyes.com/twstock/index2real.aspx?itype=TSE&amp;subcode=2900_2999&amp;stitle=%e7%99%be%e8%b2%a8&amp;subtitle=8888R&amp;groupstr=18"/>
    <hyperlink ref="A28" r:id="rId25" display="https://www.cnyes.com/twstock/index2real.aspx?itype=TSE&amp;stitle=%e6%b2%b9%e9%9b%bb&amp;groupstr=23"/>
    <hyperlink ref="A29" r:id="rId26" display="https://www.cnyes.com/twstock/index2real.aspx?itype=TDR&amp;subcode=9100_9199&amp;stitle=%e5%ad%98%e8%a8%97%e6%86%91%e8%ad%89&amp;groupstr=00"/>
    <hyperlink ref="A30" r:id="rId27" display="https://www.cnyes.com/twstock/index2real.aspx?itype=TSE&amp;subcode=9900_9999&amp;stitle=%e5%85%b6%e4%bb%96&amp;subtitle=8888S&amp;groupstr=20"/>
    <hyperlink ref="A31" r:id="rId28" display="https://www.cnyes.com/twstock/index2real.aspx?itype=FUND&amp;stitle=%e5%9f%ba%e9%87%91"/>
    <hyperlink ref="A32" r:id="rId29" display="https://www.cnyes.com/twstock/index2real.aspx?itype=W&amp;stitle=%e6%ac%8a%e8%ad%89"/>
    <hyperlink ref="A33" r:id="rId30" display="https://www.cnyes.com/twstock/index2real.aspx?itype=DEBT&amp;stitle=%e5%85%ac%e5%8f%b8%e5%82%b5"/>
    <hyperlink ref="A34" r:id="rId31" display="https://www.cnyes.com/twstock/index2real.aspx?itype=TW50&amp;stitle=%e8%87%ba%e7%81%a3%e4%ba%94%e5%8d%81%e6%8c%87%e6%95%b8%e6%88%90%e4%bb%bd%e8%82%a1"/>
    <hyperlink ref="A35" r:id="rId32" display="https://www.cnyes.com/twstock/index2real.aspx?itype=TW100&amp;stitle=%e5%8f%b0%e7%81%a3%e4%b8%ad%e5%9e%8b100%e6%8c%87%e6%95%b8"/>
    <hyperlink ref="A36" r:id="rId33" display="https://www.cnyes.com/twstock/index2real.aspx?itype=group&amp;subcode=2_22&amp;stitle=%e6%a6%82%e5%bf%b5%e8%82%a1(%e5%8f%b0%e8%82%a1ETF%e6%88%90%e4%bb%bd%e8%82%a1)"/>
    <hyperlink ref="A37" r:id="rId34" display="https://www.cnyes.com/twstock/tw_astock_list.aspx"/>
    <hyperlink ref="A38" r:id="rId35" display="https://www.cnyes.com/twstock/index2real.aspx?itype=TWDP&amp;stitle=%e5%8f%b0%e7%81%a3%e7%99%bc%e9%81%94%e6%8c%87%e6%95%b8"/>
    <hyperlink ref="A39" r:id="rId36" display="https://www.cnyes.com/twstock/index2real.aspx?itype=TWEI&amp;stitle=%e5%8f%b0%e7%81%a3%e9%ab%98%e8%82%a1%e6%81%af%e6%8c%87%e6%95%b8"/>
    <hyperlink ref="A40" r:id="rId37" display="https://www.cnyes.com/twstock/index2real.aspx?itype=TBB&amp;stitle=%e7%89%9b%e7%86%8a%e8%ad%89"/>
    <hyperlink ref="A41" r:id="rId38" display="https://www.cnyes.com/twstock/index2real.aspx?itype=TWTEC&amp;stitle=%e5%8f%b0%e7%81%a3%e8%b3%87%e8%a8%8a%e7%a7%91%e6%8a%80"/>
    <hyperlink ref="A42" r:id="rId39" display="https://www.cnyes.com/twstock/index2real.aspx?itype=TPHD&amp;stitle=%e9%ab%98%e6%ae%96%e5%88%a9%e7%8e%87"/>
    <hyperlink ref="A43" r:id="rId40" display="https://www.cnyes.com/twstock/index2real.aspx?itype=TPCI&amp;stitle=%e6%ab%83%e8%b2%b7%e8%96%aa%e9%85%ac"/>
    <hyperlink ref="A44" r:id="rId41" display="https://www.cnyes.com/twstock/index2real.aspx?itype=EMP88&amp;stitle=%e5%8b%9e%e5%b7%a5%e5%b0%b1%e6%a5%ad88"/>
    <hyperlink ref="B9" r:id="rId42"/>
  </hyperlinks>
  <pageMargins left="0.7" right="0.7" top="0.75" bottom="0.75" header="0.3" footer="0.3"/>
  <pageSetup orientation="portrait" r:id="rId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介面與股票歷史資料查詢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2018-06-11T14:42:32Z</dcterms:modified>
</cp:coreProperties>
</file>